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2026_Class Schedule" sheetId="1" r:id="rId4"/>
  </sheets>
  <definedNames/>
  <calcPr/>
  <extLst>
    <ext uri="GoogleSheetsCustomDataVersion2">
      <go:sheetsCustomData xmlns:go="http://customooxmlschemas.google.com/" r:id="rId5" roundtripDataChecksum="QDpmvmL5x+9i1M1MCEQHVkijW7NIUaVmDqsaMgK69QU="/>
    </ext>
  </extLst>
</workbook>
</file>

<file path=xl/sharedStrings.xml><?xml version="1.0" encoding="utf-8"?>
<sst xmlns="http://schemas.openxmlformats.org/spreadsheetml/2006/main" count="218" uniqueCount="137">
  <si>
    <t>Senior Capstone Design Teams</t>
  </si>
  <si>
    <t>Capstone Senior Design Spring 2025
Activities Schedule</t>
  </si>
  <si>
    <t>Team 1 - Obstacle-Aware Reactive Trajectory Planning for Industrial
Robotics Applications</t>
  </si>
  <si>
    <t>Semester Start Date</t>
  </si>
  <si>
    <t>Semester End Date</t>
  </si>
  <si>
    <t>Project Duration</t>
  </si>
  <si>
    <t>Sebastian Oviedo</t>
  </si>
  <si>
    <t>year</t>
  </si>
  <si>
    <t>No. of Days</t>
  </si>
  <si>
    <t>Elizabeth McGlone</t>
  </si>
  <si>
    <t>month</t>
  </si>
  <si>
    <t>No. of Weeks</t>
  </si>
  <si>
    <t>Ariana Story</t>
  </si>
  <si>
    <t>day</t>
  </si>
  <si>
    <t>Work Days</t>
  </si>
  <si>
    <t>Anish Goyal</t>
  </si>
  <si>
    <t>Spring Semester Schedule</t>
  </si>
  <si>
    <t>Team 2 - Accessible Card Game Interaction System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</si>
  <si>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</si>
  <si>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</si>
  <si>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</si>
  <si>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</si>
  <si>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</si>
  <si>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</si>
  <si>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</si>
  <si>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</si>
  <si>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</si>
  <si>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</si>
  <si>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</si>
  <si>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</si>
  <si>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</si>
  <si>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</si>
  <si>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</si>
  <si>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</si>
  <si>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</si>
  <si>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</si>
  <si>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William Lewis</t>
  </si>
  <si>
    <t>Monday</t>
  </si>
  <si>
    <t>Wednesday</t>
  </si>
  <si>
    <t>Friday</t>
  </si>
  <si>
    <t>Tuesday</t>
  </si>
  <si>
    <t>Will Thomas</t>
  </si>
  <si>
    <t>Stephen Despres</t>
  </si>
  <si>
    <t>Start of Semester - Syllabus</t>
  </si>
  <si>
    <t>Lecture</t>
  </si>
  <si>
    <t>MLK Holiday</t>
  </si>
  <si>
    <t>Ethics Presentations Teams 1-2-3</t>
  </si>
  <si>
    <t>Ethics Presentations Teams 4-5-6</t>
  </si>
  <si>
    <t>Ethics Presentations Teams 7-8</t>
  </si>
  <si>
    <t>Ethics Presentations Teams 9-10</t>
  </si>
  <si>
    <t>Midterm Presentations Teams 1-2-3</t>
  </si>
  <si>
    <t>Midterm Presentations Teams 4-5-6</t>
  </si>
  <si>
    <t>Midterm Presentations Teams 7-8</t>
  </si>
  <si>
    <t>Midterm Presentations Teams 9-10</t>
  </si>
  <si>
    <t>Spring Break</t>
  </si>
  <si>
    <t>Sustainability  Presentation Teams 1-2-3</t>
  </si>
  <si>
    <t>Sustainability  Presentation Teams 4-5-6</t>
  </si>
  <si>
    <t>Sustainability  Presentation Teams 7-8</t>
  </si>
  <si>
    <t>Sustainability  Presentation Teams 9-10</t>
  </si>
  <si>
    <t>Webpage  Presentation Teams 1-5</t>
  </si>
  <si>
    <t>Webpage  Presentation Teams 6-10</t>
  </si>
  <si>
    <t>Research Symposium</t>
  </si>
  <si>
    <t>Final Project Demonstrations 
Teams 1-10 ( In the Lab)</t>
  </si>
  <si>
    <t>Final Exams</t>
  </si>
  <si>
    <t>Team 3 - WiFi-enabled CSI-based human position identification using a static mesh</t>
  </si>
  <si>
    <t>Cade Huff</t>
  </si>
  <si>
    <t>Jake Todd</t>
  </si>
  <si>
    <t>Korben Lam</t>
  </si>
  <si>
    <t>Wyatt Furuglyas</t>
  </si>
  <si>
    <t>Team 4 - The Compass: A Handheld Component Analysis
and Screening Device</t>
  </si>
  <si>
    <t>Johnavon Lundy</t>
  </si>
  <si>
    <t>Travis Boykin</t>
  </si>
  <si>
    <t>Team 5 - Hybrid Sensor and Vision-Based Smart Parking Availability
System</t>
  </si>
  <si>
    <t>Sydney Martin</t>
  </si>
  <si>
    <t>Johona Braswell</t>
  </si>
  <si>
    <t>Team 6 - Vivarium Automated Control System</t>
  </si>
  <si>
    <t>Kerrington Walsh</t>
  </si>
  <si>
    <t>Sam McNure</t>
  </si>
  <si>
    <t>Team 7 - Smart Glove Keyboard</t>
  </si>
  <si>
    <t>James Keys</t>
  </si>
  <si>
    <t>JaNyia Young</t>
  </si>
  <si>
    <t>Team 8 - Radio Frequency Search and Rescue</t>
  </si>
  <si>
    <t>Tamera Gilmore</t>
  </si>
  <si>
    <t>Bryan Bosely</t>
  </si>
  <si>
    <t>Jack Jones</t>
  </si>
  <si>
    <t>Cole Freeman</t>
  </si>
  <si>
    <t>Team 9 - Off-Grid Flywheel-Based Battery Charging System</t>
  </si>
  <si>
    <t>Mark Dudley</t>
  </si>
  <si>
    <t>Mackey Giddens</t>
  </si>
  <si>
    <t>Jacob Mathews</t>
  </si>
  <si>
    <t>Aj Hernandez</t>
  </si>
  <si>
    <t>Team 10 - NovaShade: An Embedded-Controlled Windshield Heating System for Cold Weather Use</t>
  </si>
  <si>
    <t>Project  Reports Due Dates</t>
  </si>
  <si>
    <t>Ola Victor-Ofoegbu</t>
  </si>
  <si>
    <t>Jalen Mordica</t>
  </si>
  <si>
    <t>Iniubong Unah</t>
  </si>
  <si>
    <t>Initial Project Proposal</t>
  </si>
  <si>
    <t>Resume &amp; LinkedIn Profile</t>
  </si>
  <si>
    <t>Formal Project Proposal Due, 
Lab Reports Due</t>
  </si>
  <si>
    <t>Deadline to Submit Research 
Symposium Intent to Participate</t>
  </si>
  <si>
    <t>Ethics Report Due</t>
  </si>
  <si>
    <t>College Poster Submission</t>
  </si>
  <si>
    <t>Sustainability Report Due</t>
  </si>
  <si>
    <t>Final Comprehensive Report Due</t>
  </si>
  <si>
    <t>Project Poster Pickup</t>
  </si>
  <si>
    <t>Complete Webpage Due</t>
  </si>
  <si>
    <t>Commencement</t>
  </si>
  <si>
    <t>Team No.</t>
  </si>
  <si>
    <t>Project</t>
  </si>
  <si>
    <t>Room</t>
  </si>
  <si>
    <t>TA</t>
  </si>
  <si>
    <t>Team 1</t>
  </si>
  <si>
    <t>Obstacle-Aware Reactive Trajectory Planning</t>
  </si>
  <si>
    <t>Steve</t>
  </si>
  <si>
    <t>Iroghama</t>
  </si>
  <si>
    <t>Team 2</t>
  </si>
  <si>
    <t>Accessible Card Game Interaction System</t>
  </si>
  <si>
    <t>Team 3</t>
  </si>
  <si>
    <t>WiFi-enabled CSI-based human position identification using a static mesh</t>
  </si>
  <si>
    <t>Team 4</t>
  </si>
  <si>
    <t>The Compass: A Handheld Component Analysis</t>
  </si>
  <si>
    <t>Tayden</t>
  </si>
  <si>
    <t>Berry</t>
  </si>
  <si>
    <t>Team 5</t>
  </si>
  <si>
    <t>Hybrid Sensor and Vision-Based Smart Parking Availability System</t>
  </si>
  <si>
    <t>Team 6</t>
  </si>
  <si>
    <t>Vivarium Automated Control System</t>
  </si>
  <si>
    <t>Team 7</t>
  </si>
  <si>
    <t>Smart Glove Keyboard</t>
  </si>
  <si>
    <t>Grey</t>
  </si>
  <si>
    <t>Myers</t>
  </si>
  <si>
    <t>Team 8</t>
  </si>
  <si>
    <t>Radio Frequency Search and Rescue</t>
  </si>
  <si>
    <t>Team 9</t>
  </si>
  <si>
    <t>Off-Grid Flywheel-Based Battery Charging System</t>
  </si>
  <si>
    <t>Team 10</t>
  </si>
  <si>
    <t>NovaShade: An Embedded-Controlled Windshield Heating System for Cold Weather 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</si>
</sst>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400]h:mm:ss\ AM/PM"/>
  </numFmts>
  <fonts count="20">
    <font>
      <sz val="11.0"/>
      <color theme="1"/>
      <name val="Calibri"/>
      <scheme val="minor"/>
    </font>
    <font>
      <sz val="11.0"/>
      <color theme="1"/>
      <name val="Calibri"/>
    </font>
    <font>
      <sz val="22.0"/>
      <color theme="1"/>
      <name val="Calibri"/>
    </font>
    <font/>
    <font>
      <sz val="24.0"/>
      <color theme="1"/>
      <name val="Calibri"/>
    </font>
    <font>
      <b/>
      <sz val="12.0"/>
      <color theme="1"/>
      <name val="Calibri"/>
    </font>
    <font>
      <sz val="11.0"/>
      <color theme="0"/>
      <name val="Calibri"/>
    </font>
    <font>
      <sz val="20.0"/>
      <color theme="1"/>
      <name val="Calibri"/>
    </font>
    <font>
      <sz val="28.0"/>
      <color theme="1"/>
      <name val="Times New Roman"/>
    </font>
    <font>
      <sz val="48.0"/>
      <color theme="1"/>
      <name val="Calibri"/>
    </font>
    <font>
      <sz val="28.0"/>
      <color theme="1"/>
      <name val="Calibri"/>
    </font>
    <font>
      <b/>
      <i/>
      <sz val="12.0"/>
      <color rgb="FFFF0000"/>
      <name val="Calibri"/>
    </font>
    <font>
      <b/>
      <sz val="11.0"/>
      <color theme="1"/>
      <name val="Calibri"/>
    </font>
    <font>
      <sz val="22.0"/>
      <color theme="1"/>
      <name val="Times New Roman"/>
    </font>
    <font>
      <sz val="24.0"/>
      <color theme="1"/>
      <name val="Times New Roman"/>
    </font>
    <font>
      <sz val="26.0"/>
      <color theme="1"/>
      <name val="Calibri"/>
    </font>
    <font>
      <sz val="14.0"/>
      <color theme="1"/>
      <name val="Calibri"/>
    </font>
    <font>
      <sz val="12.0"/>
      <color theme="1"/>
      <name val="Calibri"/>
    </font>
    <font>
      <i/>
      <sz val="14.0"/>
      <color theme="1"/>
      <name val="Calibri"/>
    </font>
    <font>
      <b/>
      <i/>
      <sz val="12.0"/>
      <color theme="1"/>
      <name val="Calibri"/>
    </font>
  </fonts>
  <fills count="2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5B8B7"/>
        <bgColor rgb="FFE5B8B7"/>
      </patternFill>
    </fill>
    <fill>
      <patternFill patternType="solid">
        <fgColor rgb="FFE36C09"/>
        <bgColor rgb="FFE36C09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rgb="FFF2DBDB"/>
        <bgColor rgb="FFF2DBDB"/>
      </patternFill>
    </fill>
    <fill>
      <patternFill patternType="solid">
        <fgColor rgb="FFFABF8F"/>
        <bgColor rgb="FFFABF8F"/>
      </patternFill>
    </fill>
    <fill>
      <patternFill patternType="solid">
        <fgColor rgb="FFE5DFEC"/>
        <bgColor rgb="FFE5DFEC"/>
      </patternFill>
    </fill>
    <fill>
      <patternFill patternType="solid">
        <fgColor rgb="FF92D050"/>
        <bgColor rgb="FF92D050"/>
      </patternFill>
    </fill>
    <fill>
      <patternFill patternType="solid">
        <fgColor rgb="FFD6E3BC"/>
        <bgColor rgb="FFD6E3BC"/>
      </patternFill>
    </fill>
    <fill>
      <patternFill patternType="solid">
        <fgColor rgb="FFDAEEF3"/>
        <bgColor rgb="FFDAEEF3"/>
      </patternFill>
    </fill>
    <fill>
      <patternFill patternType="solid">
        <fgColor rgb="FFD99594"/>
        <bgColor rgb="FFD99594"/>
      </patternFill>
    </fill>
    <fill>
      <patternFill patternType="solid">
        <fgColor rgb="FFCCC0D9"/>
        <bgColor rgb="FFCCC0D9"/>
      </patternFill>
    </fill>
    <fill>
      <patternFill patternType="solid">
        <fgColor rgb="FFB8CCE4"/>
        <bgColor rgb="FFB8CCE4"/>
      </patternFill>
    </fill>
    <fill>
      <patternFill patternType="solid">
        <fgColor rgb="FFDDD9C3"/>
        <bgColor rgb="FFDDD9C3"/>
      </patternFill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  <fill>
      <patternFill patternType="solid">
        <fgColor rgb="FFC6D9F0"/>
        <bgColor rgb="FFC6D9F0"/>
      </patternFill>
    </fill>
  </fills>
  <borders count="71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bottom/>
    </border>
    <border>
      <left/>
      <right/>
      <top/>
    </border>
    <border>
      <left style="medium">
        <color rgb="FF000000"/>
      </left>
      <right style="medium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</border>
    <border>
      <right/>
      <top/>
    </border>
    <border>
      <left/>
      <right/>
      <top style="medium">
        <color rgb="FF000000"/>
      </top>
      <bottom/>
    </border>
    <border>
      <left/>
      <right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/>
    </border>
    <border>
      <top style="thin">
        <color rgb="FF000000"/>
      </top>
      <bottom style="thin">
        <color rgb="FF000000"/>
      </bottom>
    </border>
    <border>
      <left/>
      <right/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/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</border>
    <border>
      <right style="medium">
        <color rgb="FF000000"/>
      </right>
    </border>
    <border>
      <left/>
      <top/>
      <bottom/>
    </border>
    <border>
      <right/>
      <top/>
      <bottom/>
    </border>
    <border>
      <top/>
      <bottom/>
    </border>
    <border>
      <left/>
      <top/>
    </border>
    <border>
      <left/>
      <bottom/>
    </border>
    <border>
      <right/>
      <bottom/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4" fontId="4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" fillId="2" fontId="1" numFmtId="0" xfId="0" applyAlignment="1" applyBorder="1" applyFont="1">
      <alignment horizontal="center"/>
    </xf>
    <xf borderId="8" fillId="5" fontId="5" numFmtId="0" xfId="0" applyAlignment="1" applyBorder="1" applyFill="1" applyFont="1">
      <alignment horizontal="center" shrinkToFit="0" wrapText="1"/>
    </xf>
    <xf borderId="9" fillId="0" fontId="3" numFmtId="0" xfId="0" applyBorder="1" applyFont="1"/>
    <xf borderId="10" fillId="0" fontId="3" numFmtId="0" xfId="0" applyBorder="1" applyFont="1"/>
    <xf borderId="8" fillId="6" fontId="1" numFmtId="0" xfId="0" applyAlignment="1" applyBorder="1" applyFill="1" applyFont="1">
      <alignment horizontal="center" vertical="center"/>
    </xf>
    <xf borderId="8" fillId="7" fontId="1" numFmtId="0" xfId="0" applyAlignment="1" applyBorder="1" applyFill="1" applyFont="1">
      <alignment horizontal="center" vertical="center"/>
    </xf>
    <xf borderId="8" fillId="4" fontId="1" numFmtId="0" xfId="0" applyAlignment="1" applyBorder="1" applyFont="1">
      <alignment horizontal="center" vertical="center"/>
    </xf>
    <xf borderId="11" fillId="5" fontId="2" numFmtId="0" xfId="0" applyAlignment="1" applyBorder="1" applyFont="1">
      <alignment horizontal="center" vertical="center"/>
    </xf>
    <xf borderId="8" fillId="5" fontId="5" numFmtId="0" xfId="0" applyAlignment="1" applyBorder="1" applyFont="1">
      <alignment horizontal="center"/>
    </xf>
    <xf borderId="12" fillId="6" fontId="1" numFmtId="0" xfId="0" applyAlignment="1" applyBorder="1" applyFont="1">
      <alignment horizontal="center"/>
    </xf>
    <xf borderId="13" fillId="0" fontId="3" numFmtId="0" xfId="0" applyBorder="1" applyFont="1"/>
    <xf borderId="14" fillId="6" fontId="1" numFmtId="0" xfId="0" applyAlignment="1" applyBorder="1" applyFont="1">
      <alignment horizontal="center"/>
    </xf>
    <xf borderId="12" fillId="7" fontId="1" numFmtId="0" xfId="0" applyAlignment="1" applyBorder="1" applyFont="1">
      <alignment horizontal="center"/>
    </xf>
    <xf borderId="14" fillId="7" fontId="1" numFmtId="0" xfId="0" applyAlignment="1" applyBorder="1" applyFont="1">
      <alignment horizontal="center"/>
    </xf>
    <xf borderId="15" fillId="8" fontId="1" numFmtId="0" xfId="0" applyAlignment="1" applyBorder="1" applyFill="1" applyFont="1">
      <alignment horizontal="center"/>
    </xf>
    <xf borderId="14" fillId="8" fontId="1" numFmtId="0" xfId="0" applyAlignment="1" applyBorder="1" applyFont="1">
      <alignment horizontal="center"/>
    </xf>
    <xf borderId="16" fillId="0" fontId="3" numFmtId="0" xfId="0" applyBorder="1" applyFont="1"/>
    <xf borderId="17" fillId="6" fontId="1" numFmtId="0" xfId="0" applyAlignment="1" applyBorder="1" applyFont="1">
      <alignment horizontal="center"/>
    </xf>
    <xf borderId="18" fillId="0" fontId="3" numFmtId="0" xfId="0" applyBorder="1" applyFont="1"/>
    <xf borderId="19" fillId="6" fontId="1" numFmtId="0" xfId="0" applyAlignment="1" applyBorder="1" applyFont="1">
      <alignment horizontal="center"/>
    </xf>
    <xf borderId="17" fillId="7" fontId="1" numFmtId="0" xfId="0" applyAlignment="1" applyBorder="1" applyFont="1">
      <alignment horizontal="center"/>
    </xf>
    <xf borderId="19" fillId="7" fontId="1" numFmtId="0" xfId="0" applyAlignment="1" applyBorder="1" applyFont="1">
      <alignment horizontal="center"/>
    </xf>
    <xf borderId="20" fillId="8" fontId="1" numFmtId="0" xfId="0" applyAlignment="1" applyBorder="1" applyFont="1">
      <alignment horizontal="center"/>
    </xf>
    <xf borderId="19" fillId="8" fontId="1" numFmtId="0" xfId="0" applyAlignment="1" applyBorder="1" applyFont="1">
      <alignment horizontal="center"/>
    </xf>
    <xf borderId="21" fillId="6" fontId="1" numFmtId="0" xfId="0" applyAlignment="1" applyBorder="1" applyFont="1">
      <alignment horizontal="center"/>
    </xf>
    <xf borderId="22" fillId="0" fontId="3" numFmtId="0" xfId="0" applyBorder="1" applyFont="1"/>
    <xf borderId="23" fillId="6" fontId="1" numFmtId="0" xfId="0" applyAlignment="1" applyBorder="1" applyFont="1">
      <alignment horizontal="center"/>
    </xf>
    <xf borderId="21" fillId="7" fontId="1" numFmtId="0" xfId="0" applyAlignment="1" applyBorder="1" applyFont="1">
      <alignment horizontal="center"/>
    </xf>
    <xf borderId="23" fillId="7" fontId="1" numFmtId="0" xfId="0" applyAlignment="1" applyBorder="1" applyFont="1">
      <alignment horizontal="center"/>
    </xf>
    <xf borderId="24" fillId="8" fontId="1" numFmtId="0" xfId="0" applyAlignment="1" applyBorder="1" applyFont="1">
      <alignment horizontal="center"/>
    </xf>
    <xf borderId="23" fillId="8" fontId="1" numFmtId="0" xfId="0" applyAlignment="1" applyBorder="1" applyFont="1">
      <alignment horizontal="center"/>
    </xf>
    <xf borderId="1" fillId="2" fontId="6" numFmtId="0" xfId="0" applyBorder="1" applyFont="1"/>
    <xf borderId="0" fillId="0" fontId="6" numFmtId="0" xfId="0" applyFont="1"/>
    <xf borderId="25" fillId="0" fontId="3" numFmtId="0" xfId="0" applyBorder="1" applyFont="1"/>
    <xf borderId="26" fillId="2" fontId="1" numFmtId="0" xfId="0" applyBorder="1" applyFont="1"/>
    <xf borderId="1" fillId="2" fontId="2" numFmtId="0" xfId="0" applyAlignment="1" applyBorder="1" applyFont="1">
      <alignment vertical="center"/>
    </xf>
    <xf borderId="1" fillId="2" fontId="5" numFmtId="0" xfId="0" applyBorder="1" applyFont="1"/>
    <xf borderId="8" fillId="9" fontId="7" numFmtId="0" xfId="0" applyAlignment="1" applyBorder="1" applyFill="1" applyFont="1">
      <alignment horizontal="center"/>
    </xf>
    <xf borderId="8" fillId="10" fontId="5" numFmtId="0" xfId="0" applyAlignment="1" applyBorder="1" applyFill="1" applyFont="1">
      <alignment horizontal="center"/>
    </xf>
    <xf borderId="27" fillId="11" fontId="1" numFmtId="14" xfId="0" applyAlignment="1" applyBorder="1" applyFill="1" applyFont="1" applyNumberFormat="1">
      <alignment horizontal="center"/>
    </xf>
    <xf borderId="28" fillId="11" fontId="1" numFmtId="14" xfId="0" applyAlignment="1" applyBorder="1" applyFont="1" applyNumberFormat="1">
      <alignment horizontal="center"/>
    </xf>
    <xf borderId="29" fillId="0" fontId="3" numFmtId="0" xfId="0" applyBorder="1" applyFont="1"/>
    <xf borderId="30" fillId="11" fontId="1" numFmtId="14" xfId="0" applyBorder="1" applyFont="1" applyNumberFormat="1"/>
    <xf borderId="31" fillId="0" fontId="3" numFmtId="0" xfId="0" applyBorder="1" applyFont="1"/>
    <xf borderId="32" fillId="11" fontId="1" numFmtId="0" xfId="0" applyBorder="1" applyFont="1"/>
    <xf borderId="33" fillId="10" fontId="2" numFmtId="0" xfId="0" applyAlignment="1" applyBorder="1" applyFont="1">
      <alignment horizontal="center" vertical="center"/>
    </xf>
    <xf borderId="30" fillId="5" fontId="1" numFmtId="14" xfId="0" applyAlignment="1" applyBorder="1" applyFont="1" applyNumberFormat="1">
      <alignment horizontal="center" vertical="center"/>
    </xf>
    <xf borderId="34" fillId="5" fontId="1" numFmtId="14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35" fillId="0" fontId="3" numFmtId="0" xfId="0" applyBorder="1" applyFont="1"/>
    <xf borderId="36" fillId="12" fontId="1" numFmtId="14" xfId="0" applyAlignment="1" applyBorder="1" applyFill="1" applyFont="1" applyNumberFormat="1">
      <alignment horizontal="center" vertical="center"/>
    </xf>
    <xf borderId="37" fillId="12" fontId="1" numFmtId="14" xfId="0" applyAlignment="1" applyBorder="1" applyFont="1" applyNumberFormat="1">
      <alignment horizontal="center" vertical="center"/>
    </xf>
    <xf borderId="38" fillId="12" fontId="1" numFmtId="14" xfId="0" applyAlignment="1" applyBorder="1" applyFont="1" applyNumberFormat="1">
      <alignment horizontal="center" vertical="center"/>
    </xf>
    <xf borderId="39" fillId="12" fontId="1" numFmtId="14" xfId="0" applyAlignment="1" applyBorder="1" applyFont="1" applyNumberFormat="1">
      <alignment horizontal="center" vertical="center"/>
    </xf>
    <xf borderId="40" fillId="12" fontId="1" numFmtId="14" xfId="0" applyAlignment="1" applyBorder="1" applyFont="1" applyNumberFormat="1">
      <alignment horizontal="center" vertical="center"/>
    </xf>
    <xf borderId="41" fillId="0" fontId="3" numFmtId="0" xfId="0" applyBorder="1" applyFont="1"/>
    <xf borderId="42" fillId="2" fontId="1" numFmtId="20" xfId="0" applyAlignment="1" applyBorder="1" applyFont="1" applyNumberFormat="1">
      <alignment horizontal="center" vertical="center"/>
    </xf>
    <xf borderId="43" fillId="7" fontId="8" numFmtId="0" xfId="0" applyAlignment="1" applyBorder="1" applyFont="1">
      <alignment horizontal="center" textRotation="90" vertical="center"/>
    </xf>
    <xf borderId="43" fillId="13" fontId="8" numFmtId="0" xfId="0" applyAlignment="1" applyBorder="1" applyFill="1" applyFont="1">
      <alignment horizontal="center" textRotation="90" vertical="center"/>
    </xf>
    <xf borderId="43" fillId="9" fontId="8" numFmtId="0" xfId="0" applyAlignment="1" applyBorder="1" applyFont="1">
      <alignment horizontal="center" textRotation="90" vertical="center"/>
    </xf>
    <xf borderId="43" fillId="14" fontId="8" numFmtId="0" xfId="0" applyAlignment="1" applyBorder="1" applyFill="1" applyFont="1">
      <alignment horizontal="center" textRotation="90" vertical="center"/>
    </xf>
    <xf borderId="43" fillId="10" fontId="8" numFmtId="0" xfId="0" applyAlignment="1" applyBorder="1" applyFont="1">
      <alignment horizontal="center" textRotation="90" vertical="center"/>
    </xf>
    <xf borderId="43" fillId="15" fontId="8" numFmtId="0" xfId="0" applyAlignment="1" applyBorder="1" applyFill="1" applyFont="1">
      <alignment horizontal="center" textRotation="90" vertical="center"/>
    </xf>
    <xf borderId="43" fillId="16" fontId="8" numFmtId="0" xfId="0" applyAlignment="1" applyBorder="1" applyFill="1" applyFont="1">
      <alignment horizontal="center" shrinkToFit="0" textRotation="90" vertical="center" wrapText="1"/>
    </xf>
    <xf borderId="44" fillId="5" fontId="8" numFmtId="0" xfId="0" applyAlignment="1" applyBorder="1" applyFont="1">
      <alignment horizontal="center" shrinkToFit="0" textRotation="90" vertical="center" wrapText="1"/>
    </xf>
    <xf borderId="45" fillId="11" fontId="9" numFmtId="0" xfId="0" applyAlignment="1" applyBorder="1" applyFont="1">
      <alignment horizontal="center" textRotation="90" vertical="center"/>
    </xf>
    <xf borderId="46" fillId="0" fontId="3" numFmtId="0" xfId="0" applyBorder="1" applyFont="1"/>
    <xf borderId="43" fillId="6" fontId="9" numFmtId="0" xfId="0" applyAlignment="1" applyBorder="1" applyFont="1">
      <alignment horizontal="center" textRotation="90" vertical="center"/>
    </xf>
    <xf borderId="47" fillId="2" fontId="1" numFmtId="0" xfId="0" applyAlignment="1" applyBorder="1" applyFont="1">
      <alignment horizontal="center" vertical="center"/>
    </xf>
    <xf borderId="48" fillId="0" fontId="3" numFmtId="0" xfId="0" applyBorder="1" applyFont="1"/>
    <xf borderId="49" fillId="0" fontId="3" numFmtId="0" xfId="0" applyBorder="1" applyFont="1"/>
    <xf borderId="50" fillId="0" fontId="3" numFmtId="0" xfId="0" applyBorder="1" applyFont="1"/>
    <xf borderId="51" fillId="0" fontId="3" numFmtId="0" xfId="0" applyBorder="1" applyFont="1"/>
    <xf borderId="27" fillId="17" fontId="5" numFmtId="0" xfId="0" applyAlignment="1" applyBorder="1" applyFill="1" applyFont="1">
      <alignment horizontal="center" shrinkToFit="0" wrapText="1"/>
    </xf>
    <xf borderId="52" fillId="0" fontId="3" numFmtId="0" xfId="0" applyBorder="1" applyFont="1"/>
    <xf borderId="43" fillId="17" fontId="2" numFmtId="0" xfId="0" applyAlignment="1" applyBorder="1" applyFont="1">
      <alignment horizontal="center" vertical="center"/>
    </xf>
    <xf borderId="8" fillId="17" fontId="5" numFmtId="0" xfId="0" applyAlignment="1" applyBorder="1" applyFont="1">
      <alignment horizontal="center"/>
    </xf>
    <xf borderId="53" fillId="0" fontId="3" numFmtId="0" xfId="0" applyBorder="1" applyFont="1"/>
    <xf borderId="8" fillId="6" fontId="5" numFmtId="0" xfId="0" applyAlignment="1" applyBorder="1" applyFont="1">
      <alignment horizontal="center" shrinkToFit="0" wrapText="1"/>
    </xf>
    <xf borderId="11" fillId="6" fontId="2" numFmtId="0" xfId="0" applyAlignment="1" applyBorder="1" applyFont="1">
      <alignment horizontal="center" vertical="center"/>
    </xf>
    <xf borderId="8" fillId="6" fontId="5" numFmtId="0" xfId="0" applyAlignment="1" applyBorder="1" applyFont="1">
      <alignment horizontal="center"/>
    </xf>
    <xf borderId="1" fillId="2" fontId="1" numFmtId="20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/>
    </xf>
    <xf borderId="8" fillId="14" fontId="5" numFmtId="0" xfId="0" applyAlignment="1" applyBorder="1" applyFont="1">
      <alignment horizontal="center" shrinkToFit="0" wrapText="1"/>
    </xf>
    <xf borderId="11" fillId="14" fontId="2" numFmtId="0" xfId="0" applyAlignment="1" applyBorder="1" applyFont="1">
      <alignment horizontal="center" vertical="center"/>
    </xf>
    <xf borderId="8" fillId="14" fontId="5" numFmtId="0" xfId="0" applyAlignment="1" applyBorder="1" applyFont="1">
      <alignment horizontal="center"/>
    </xf>
    <xf borderId="54" fillId="0" fontId="3" numFmtId="0" xfId="0" applyBorder="1" applyFont="1"/>
    <xf borderId="3" fillId="0" fontId="2" numFmtId="0" xfId="0" applyAlignment="1" applyBorder="1" applyFont="1">
      <alignment horizontal="center" vertical="center"/>
    </xf>
    <xf borderId="8" fillId="8" fontId="5" numFmtId="0" xfId="0" applyAlignment="1" applyBorder="1" applyFont="1">
      <alignment horizontal="center"/>
    </xf>
    <xf borderId="11" fillId="8" fontId="2" numFmtId="0" xfId="0" applyAlignment="1" applyBorder="1" applyFont="1">
      <alignment horizontal="center" vertical="center"/>
    </xf>
    <xf borderId="8" fillId="18" fontId="5" numFmtId="0" xfId="0" applyAlignment="1" applyBorder="1" applyFill="1" applyFont="1">
      <alignment horizontal="center"/>
    </xf>
    <xf borderId="11" fillId="18" fontId="2" numFmtId="0" xfId="0" applyAlignment="1" applyBorder="1" applyFont="1">
      <alignment horizontal="center" vertical="center"/>
    </xf>
    <xf borderId="8" fillId="18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8" fillId="19" fontId="5" numFmtId="0" xfId="0" applyAlignment="1" applyBorder="1" applyFill="1" applyFont="1">
      <alignment horizontal="center" vertical="center"/>
    </xf>
    <xf borderId="43" fillId="19" fontId="2" numFmtId="0" xfId="0" applyAlignment="1" applyBorder="1" applyFont="1">
      <alignment horizontal="center" vertical="center"/>
    </xf>
    <xf borderId="8" fillId="19" fontId="5" numFmtId="0" xfId="0" applyAlignment="1" applyBorder="1" applyFont="1">
      <alignment horizontal="center"/>
    </xf>
    <xf borderId="8" fillId="16" fontId="5" numFmtId="0" xfId="0" applyAlignment="1" applyBorder="1" applyFont="1">
      <alignment horizontal="center"/>
    </xf>
    <xf borderId="11" fillId="16" fontId="2" numFmtId="0" xfId="0" applyAlignment="1" applyBorder="1" applyFont="1">
      <alignment horizontal="center" vertical="center"/>
    </xf>
    <xf borderId="55" fillId="0" fontId="3" numFmtId="0" xfId="0" applyBorder="1" applyFont="1"/>
    <xf borderId="56" fillId="0" fontId="3" numFmtId="0" xfId="0" applyBorder="1" applyFont="1"/>
    <xf borderId="57" fillId="0" fontId="3" numFmtId="0" xfId="0" applyBorder="1" applyFont="1"/>
    <xf borderId="1" fillId="2" fontId="8" numFmtId="0" xfId="0" applyAlignment="1" applyBorder="1" applyFont="1">
      <alignment horizontal="center" textRotation="90" vertical="center"/>
    </xf>
    <xf borderId="1" fillId="2" fontId="8" numFmtId="0" xfId="0" applyAlignment="1" applyBorder="1" applyFont="1">
      <alignment textRotation="90" vertical="center"/>
    </xf>
    <xf borderId="1" fillId="2" fontId="10" numFmtId="0" xfId="0" applyAlignment="1" applyBorder="1" applyFont="1">
      <alignment horizontal="center" textRotation="90" vertical="center"/>
    </xf>
    <xf borderId="8" fillId="6" fontId="5" numFmtId="0" xfId="0" applyAlignment="1" applyBorder="1" applyFont="1">
      <alignment horizontal="center" shrinkToFit="0" vertical="center" wrapText="1"/>
    </xf>
    <xf borderId="8" fillId="9" fontId="10" numFmtId="0" xfId="0" applyAlignment="1" applyBorder="1" applyFont="1">
      <alignment horizontal="center" shrinkToFit="0" vertical="center" wrapText="1"/>
    </xf>
    <xf borderId="8" fillId="6" fontId="5" numFmtId="0" xfId="0" applyAlignment="1" applyBorder="1" applyFont="1">
      <alignment horizontal="center" vertical="center"/>
    </xf>
    <xf borderId="8" fillId="6" fontId="11" numFmtId="0" xfId="0" applyAlignment="1" applyBorder="1" applyFont="1">
      <alignment horizontal="center"/>
    </xf>
    <xf borderId="58" fillId="11" fontId="1" numFmtId="14" xfId="0" applyAlignment="1" applyBorder="1" applyFont="1" applyNumberFormat="1">
      <alignment horizontal="center"/>
    </xf>
    <xf borderId="59" fillId="0" fontId="3" numFmtId="0" xfId="0" applyBorder="1" applyFont="1"/>
    <xf borderId="60" fillId="0" fontId="3" numFmtId="0" xfId="0" applyBorder="1" applyFont="1"/>
    <xf borderId="61" fillId="11" fontId="1" numFmtId="14" xfId="0" applyBorder="1" applyFont="1" applyNumberFormat="1"/>
    <xf borderId="34" fillId="2" fontId="1" numFmtId="14" xfId="0" applyBorder="1" applyFont="1" applyNumberFormat="1"/>
    <xf borderId="8" fillId="11" fontId="1" numFmtId="14" xfId="0" applyAlignment="1" applyBorder="1" applyFont="1" applyNumberFormat="1">
      <alignment horizontal="center"/>
    </xf>
    <xf borderId="0" fillId="0" fontId="12" numFmtId="0" xfId="0" applyAlignment="1" applyFont="1">
      <alignment vertical="center"/>
    </xf>
    <xf borderId="11" fillId="7" fontId="8" numFmtId="0" xfId="0" applyAlignment="1" applyBorder="1" applyFont="1">
      <alignment horizontal="center" textRotation="90" vertical="center"/>
    </xf>
    <xf borderId="11" fillId="10" fontId="8" numFmtId="0" xfId="0" applyAlignment="1" applyBorder="1" applyFont="1">
      <alignment horizontal="center" textRotation="90" vertical="center"/>
    </xf>
    <xf borderId="11" fillId="10" fontId="13" numFmtId="0" xfId="0" applyAlignment="1" applyBorder="1" applyFont="1">
      <alignment horizontal="center" shrinkToFit="0" textRotation="90" vertical="center" wrapText="1"/>
    </xf>
    <xf borderId="11" fillId="10" fontId="14" numFmtId="0" xfId="0" applyAlignment="1" applyBorder="1" applyFont="1">
      <alignment horizontal="center" shrinkToFit="0" textRotation="90" vertical="center" wrapText="1"/>
    </xf>
    <xf borderId="11" fillId="10" fontId="13" numFmtId="0" xfId="0" applyAlignment="1" applyBorder="1" applyFont="1">
      <alignment horizontal="center" textRotation="90" vertical="center"/>
    </xf>
    <xf borderId="32" fillId="10" fontId="8" numFmtId="0" xfId="0" applyAlignment="1" applyBorder="1" applyFont="1">
      <alignment horizontal="center" textRotation="90" vertical="center"/>
    </xf>
    <xf borderId="11" fillId="7" fontId="14" numFmtId="0" xfId="0" applyAlignment="1" applyBorder="1" applyFont="1">
      <alignment horizontal="center" textRotation="90" vertical="center"/>
    </xf>
    <xf borderId="11" fillId="12" fontId="8" numFmtId="0" xfId="0" applyAlignment="1" applyBorder="1" applyFont="1">
      <alignment horizontal="center" textRotation="90" vertical="center"/>
    </xf>
    <xf borderId="11" fillId="5" fontId="8" numFmtId="0" xfId="0" applyAlignment="1" applyBorder="1" applyFont="1">
      <alignment horizontal="center" shrinkToFit="0" textRotation="90" vertical="center" wrapText="1"/>
    </xf>
    <xf borderId="2" fillId="11" fontId="9" numFmtId="0" xfId="0" applyAlignment="1" applyBorder="1" applyFont="1">
      <alignment horizontal="center" textRotation="90" vertical="center"/>
    </xf>
    <xf borderId="11" fillId="6" fontId="15" numFmtId="0" xfId="0" applyAlignment="1" applyBorder="1" applyFont="1">
      <alignment horizontal="center" shrinkToFit="0" textRotation="90" vertical="center" wrapText="1"/>
    </xf>
    <xf borderId="0" fillId="0" fontId="2" numFmtId="0" xfId="0" applyAlignment="1" applyFont="1">
      <alignment horizontal="center" vertical="center"/>
    </xf>
    <xf borderId="62" fillId="10" fontId="8" numFmtId="0" xfId="0" applyAlignment="1" applyBorder="1" applyFont="1">
      <alignment horizontal="center" textRotation="90" vertical="center"/>
    </xf>
    <xf borderId="63" fillId="0" fontId="3" numFmtId="0" xfId="0" applyBorder="1" applyFont="1"/>
    <xf borderId="64" fillId="0" fontId="3" numFmtId="0" xfId="0" applyBorder="1" applyFont="1"/>
    <xf borderId="0" fillId="0" fontId="11" numFmtId="0" xfId="0" applyAlignment="1" applyFont="1">
      <alignment horizontal="center" vertical="center"/>
    </xf>
    <xf borderId="1" fillId="2" fontId="2" numFmtId="0" xfId="0" applyAlignment="1" applyBorder="1" applyFont="1">
      <alignment horizontal="center"/>
    </xf>
    <xf borderId="1" fillId="2" fontId="2" numFmtId="0" xfId="0" applyBorder="1" applyFont="1"/>
    <xf borderId="40" fillId="10" fontId="8" numFmtId="0" xfId="0" applyAlignment="1" applyBorder="1" applyFont="1">
      <alignment horizontal="center" textRotation="90" vertical="center"/>
    </xf>
    <xf borderId="27" fillId="20" fontId="5" numFmtId="0" xfId="0" applyAlignment="1" applyBorder="1" applyFill="1" applyFont="1">
      <alignment horizontal="center" vertical="center"/>
    </xf>
    <xf borderId="30" fillId="20" fontId="5" numFmtId="0" xfId="0" applyAlignment="1" applyBorder="1" applyFont="1">
      <alignment horizontal="center" vertical="center"/>
    </xf>
    <xf borderId="30" fillId="20" fontId="12" numFmtId="0" xfId="0" applyAlignment="1" applyBorder="1" applyFont="1">
      <alignment horizontal="center"/>
    </xf>
    <xf borderId="27" fillId="20" fontId="12" numFmtId="0" xfId="0" applyAlignment="1" applyBorder="1" applyFont="1">
      <alignment horizontal="center" vertical="center"/>
    </xf>
    <xf borderId="27" fillId="13" fontId="5" numFmtId="0" xfId="0" applyAlignment="1" applyBorder="1" applyFont="1">
      <alignment horizontal="center" vertical="center"/>
    </xf>
    <xf borderId="30" fillId="19" fontId="5" numFmtId="0" xfId="0" applyAlignment="1" applyBorder="1" applyFont="1">
      <alignment horizontal="left" shrinkToFit="0" vertical="center" wrapText="1"/>
    </xf>
    <xf borderId="30" fillId="19" fontId="12" numFmtId="0" xfId="0" applyAlignment="1" applyBorder="1" applyFont="1">
      <alignment horizontal="center"/>
    </xf>
    <xf borderId="30" fillId="19" fontId="5" numFmtId="0" xfId="0" applyAlignment="1" applyBorder="1" applyFont="1">
      <alignment horizontal="center"/>
    </xf>
    <xf borderId="27" fillId="8" fontId="5" numFmtId="0" xfId="0" applyAlignment="1" applyBorder="1" applyFont="1">
      <alignment horizontal="center" vertical="center"/>
    </xf>
    <xf borderId="30" fillId="8" fontId="5" numFmtId="0" xfId="0" applyAlignment="1" applyBorder="1" applyFont="1">
      <alignment horizontal="left" shrinkToFit="0" vertical="center" wrapText="1"/>
    </xf>
    <xf borderId="30" fillId="8" fontId="12" numFmtId="0" xfId="0" applyAlignment="1" applyBorder="1" applyFont="1">
      <alignment horizontal="center"/>
    </xf>
    <xf borderId="30" fillId="8" fontId="5" numFmtId="0" xfId="0" applyAlignment="1" applyBorder="1" applyFont="1">
      <alignment horizontal="center"/>
    </xf>
    <xf borderId="30" fillId="8" fontId="5" numFmtId="164" xfId="0" applyAlignment="1" applyBorder="1" applyFont="1" applyNumberFormat="1">
      <alignment horizontal="center"/>
    </xf>
    <xf borderId="1" fillId="2" fontId="16" numFmtId="0" xfId="0" applyAlignment="1" applyBorder="1" applyFont="1">
      <alignment horizontal="center"/>
    </xf>
    <xf borderId="1" fillId="2" fontId="16" numFmtId="0" xfId="0" applyBorder="1" applyFont="1"/>
    <xf borderId="1" fillId="2" fontId="16" numFmtId="0" xfId="0" applyAlignment="1" applyBorder="1" applyFont="1">
      <alignment horizontal="center" vertical="center"/>
    </xf>
    <xf borderId="27" fillId="21" fontId="5" numFmtId="0" xfId="0" applyAlignment="1" applyBorder="1" applyFill="1" applyFont="1">
      <alignment horizontal="center" vertical="center"/>
    </xf>
    <xf borderId="30" fillId="21" fontId="5" numFmtId="0" xfId="0" applyAlignment="1" applyBorder="1" applyFont="1">
      <alignment horizontal="left" shrinkToFit="0" vertical="center" wrapText="1"/>
    </xf>
    <xf borderId="30" fillId="21" fontId="12" numFmtId="0" xfId="0" applyAlignment="1" applyBorder="1" applyFont="1">
      <alignment horizontal="center"/>
    </xf>
    <xf borderId="30" fillId="21" fontId="5" numFmtId="0" xfId="0" applyAlignment="1" applyBorder="1" applyFont="1">
      <alignment horizontal="center"/>
    </xf>
    <xf borderId="30" fillId="21" fontId="5" numFmtId="164" xfId="0" applyAlignment="1" applyBorder="1" applyFont="1" applyNumberFormat="1">
      <alignment horizontal="center"/>
    </xf>
    <xf borderId="1" fillId="2" fontId="16" numFmtId="164" xfId="0" applyAlignment="1" applyBorder="1" applyFont="1" applyNumberFormat="1">
      <alignment horizontal="center" vertical="center"/>
    </xf>
    <xf borderId="1" fillId="2" fontId="16" numFmtId="0" xfId="0" applyAlignment="1" applyBorder="1" applyFont="1">
      <alignment vertical="center"/>
    </xf>
    <xf borderId="1" fillId="2" fontId="17" numFmtId="0" xfId="0" applyAlignment="1" applyBorder="1" applyFont="1">
      <alignment horizontal="center" vertical="center"/>
    </xf>
    <xf borderId="1" fillId="2" fontId="1" numFmtId="164" xfId="0" applyBorder="1" applyFont="1" applyNumberFormat="1"/>
    <xf borderId="42" fillId="2" fontId="1" numFmtId="0" xfId="0" applyAlignment="1" applyBorder="1" applyFont="1">
      <alignment horizontal="center" vertical="center"/>
    </xf>
    <xf borderId="65" fillId="2" fontId="12" numFmtId="0" xfId="0" applyAlignment="1" applyBorder="1" applyFont="1">
      <alignment horizontal="center" shrinkToFit="0" vertical="center" wrapText="1"/>
    </xf>
    <xf borderId="66" fillId="0" fontId="3" numFmtId="0" xfId="0" applyBorder="1" applyFont="1"/>
    <xf borderId="1" fillId="2" fontId="12" numFmtId="0" xfId="0" applyAlignment="1" applyBorder="1" applyFont="1">
      <alignment horizontal="center" shrinkToFit="0" wrapText="1"/>
    </xf>
    <xf borderId="1" fillId="2" fontId="12" numFmtId="0" xfId="0" applyAlignment="1" applyBorder="1" applyFont="1">
      <alignment horizontal="center" shrinkToFit="0" vertical="center" wrapText="1"/>
    </xf>
    <xf borderId="67" fillId="0" fontId="3" numFmtId="0" xfId="0" applyBorder="1" applyFont="1"/>
    <xf borderId="1" fillId="2" fontId="12" numFmtId="0" xfId="0" applyAlignment="1" applyBorder="1" applyFont="1">
      <alignment horizontal="center" vertical="center"/>
    </xf>
    <xf borderId="68" fillId="2" fontId="12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/>
    </xf>
    <xf borderId="69" fillId="0" fontId="3" numFmtId="0" xfId="0" applyBorder="1" applyFont="1"/>
    <xf borderId="70" fillId="0" fontId="3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65" fillId="2" fontId="12" numFmtId="0" xfId="0" applyAlignment="1" applyBorder="1" applyFont="1">
      <alignment horizontal="center" vertical="center"/>
    </xf>
    <xf borderId="65" fillId="2" fontId="18" numFmtId="0" xfId="0" applyAlignment="1" applyBorder="1" applyFont="1">
      <alignment horizontal="left"/>
    </xf>
    <xf borderId="65" fillId="2" fontId="18" numFmtId="0" xfId="0" applyAlignment="1" applyBorder="1" applyFont="1">
      <alignment horizontal="left" vertical="center"/>
    </xf>
    <xf borderId="65" fillId="2" fontId="16" numFmtId="0" xfId="0" applyAlignment="1" applyBorder="1" applyFont="1">
      <alignment horizontal="left"/>
    </xf>
    <xf borderId="1" fillId="2" fontId="12" numFmtId="0" xfId="0" applyAlignment="1" applyBorder="1" applyFont="1">
      <alignment vertical="center"/>
    </xf>
    <xf borderId="1" fillId="2" fontId="18" numFmtId="0" xfId="0" applyAlignment="1" applyBorder="1" applyFont="1">
      <alignment horizontal="left"/>
    </xf>
    <xf borderId="1" fillId="2" fontId="19" numFmtId="0" xfId="0" applyAlignment="1" applyBorder="1" applyFont="1">
      <alignment horizontal="center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266700</xdr:colOff>
      <xdr:row>9</xdr:row>
      <xdr:rowOff>123825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14"/>
    <col customWidth="1" min="3" max="3" width="7.29"/>
    <col customWidth="1" min="4" max="4" width="43.14"/>
    <col customWidth="1" min="5" max="5" width="12.0"/>
    <col customWidth="1" min="6" max="6" width="9.86"/>
    <col customWidth="1" min="7" max="7" width="11.14"/>
    <col customWidth="1" min="8" max="8" width="10.71"/>
    <col customWidth="1" min="9" max="9" width="12.29"/>
    <col customWidth="1" min="10" max="10" width="9.71"/>
    <col customWidth="1" min="11" max="11" width="12.29"/>
    <col customWidth="1" min="12" max="12" width="9.71"/>
    <col customWidth="1" min="13" max="13" width="12.14"/>
    <col customWidth="1" min="14" max="14" width="12.86"/>
    <col customWidth="1" min="15" max="16" width="11.29"/>
    <col customWidth="1" min="17" max="17" width="10.57"/>
    <col customWidth="1" min="18" max="18" width="11.29"/>
    <col customWidth="1" min="19" max="20" width="10.57"/>
    <col customWidth="1" min="21" max="21" width="10.43"/>
    <col customWidth="1" min="22" max="22" width="10.86"/>
    <col customWidth="1" min="23" max="23" width="11.0"/>
    <col customWidth="1" min="24" max="28" width="10.86"/>
    <col customWidth="1" min="29" max="29" width="10.57"/>
    <col customWidth="1" min="30" max="30" width="10.86"/>
    <col customWidth="1" min="31" max="31" width="11.29"/>
    <col customWidth="1" min="32" max="32" width="11.0"/>
    <col customWidth="1" min="33" max="33" width="11.29"/>
    <col customWidth="1" min="34" max="34" width="10.86"/>
    <col customWidth="1" min="35" max="35" width="11.14"/>
    <col customWidth="1" min="36" max="36" width="10.43"/>
    <col customWidth="1" min="37" max="37" width="11.29"/>
    <col customWidth="1" min="38" max="38" width="9.57"/>
    <col customWidth="1" min="39" max="39" width="10.71"/>
    <col customWidth="1" min="40" max="40" width="11.86"/>
    <col customWidth="1" min="41" max="59" width="8.71"/>
  </cols>
  <sheetData>
    <row r="1" ht="14.25" customHeight="1">
      <c r="A1" s="1"/>
      <c r="B1" s="2"/>
      <c r="C1" s="3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ht="27.75" customHeight="1">
      <c r="A2" s="1"/>
      <c r="B2" s="4" t="s">
        <v>0</v>
      </c>
      <c r="C2" s="5"/>
      <c r="D2" s="6"/>
      <c r="E2" s="1"/>
      <c r="F2" s="7" t="s">
        <v>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6"/>
      <c r="AO2" s="1"/>
      <c r="AP2" s="1"/>
      <c r="AQ2" s="1"/>
      <c r="AR2" s="1"/>
      <c r="AS2" s="1"/>
    </row>
    <row r="3" ht="31.5" customHeight="1">
      <c r="A3" s="1"/>
      <c r="B3" s="8"/>
      <c r="C3" s="9"/>
      <c r="D3" s="10"/>
      <c r="E3" s="1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10"/>
      <c r="AO3" s="1"/>
      <c r="AP3" s="1"/>
      <c r="AQ3" s="1"/>
      <c r="AR3" s="1"/>
      <c r="AS3" s="1"/>
    </row>
    <row r="4" ht="15.0" customHeight="1">
      <c r="A4" s="1"/>
      <c r="B4" s="2"/>
      <c r="C4" s="3"/>
      <c r="D4" s="3"/>
      <c r="E4" s="1"/>
      <c r="F4" s="3"/>
      <c r="G4" s="3"/>
      <c r="H4" s="3"/>
      <c r="I4" s="3"/>
      <c r="J4" s="11"/>
      <c r="K4" s="11"/>
      <c r="L4" s="11"/>
      <c r="M4" s="11"/>
      <c r="N4" s="11"/>
      <c r="O4" s="11"/>
      <c r="P4" s="11"/>
      <c r="Q4" s="1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ht="15.0" customHeight="1">
      <c r="A5" s="1"/>
      <c r="B5" s="12" t="s">
        <v>2</v>
      </c>
      <c r="C5" s="13"/>
      <c r="D5" s="14"/>
      <c r="E5" s="1"/>
      <c r="F5" s="15" t="s">
        <v>3</v>
      </c>
      <c r="G5" s="13"/>
      <c r="H5" s="14"/>
      <c r="I5" s="3"/>
      <c r="J5" s="11"/>
      <c r="K5" s="11"/>
      <c r="L5" s="16" t="s">
        <v>4</v>
      </c>
      <c r="M5" s="13"/>
      <c r="N5" s="14"/>
      <c r="O5" s="3"/>
      <c r="P5" s="11"/>
      <c r="Q5" s="17" t="s">
        <v>5</v>
      </c>
      <c r="R5" s="14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ht="15.0" customHeight="1">
      <c r="A6" s="1"/>
      <c r="B6" s="18">
        <v>1.0</v>
      </c>
      <c r="C6" s="19" t="s">
        <v>6</v>
      </c>
      <c r="D6" s="14"/>
      <c r="E6" s="1"/>
      <c r="F6" s="20" t="s">
        <v>7</v>
      </c>
      <c r="G6" s="21"/>
      <c r="H6" s="22">
        <v>2026.0</v>
      </c>
      <c r="I6" s="11"/>
      <c r="J6" s="11"/>
      <c r="K6" s="11"/>
      <c r="L6" s="23" t="s">
        <v>7</v>
      </c>
      <c r="M6" s="21"/>
      <c r="N6" s="24">
        <v>2026.0</v>
      </c>
      <c r="O6" s="11"/>
      <c r="P6" s="11"/>
      <c r="Q6" s="25" t="s">
        <v>8</v>
      </c>
      <c r="R6" s="26">
        <f>IFERROR(AR8-AT8," ")</f>
        <v>112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ht="15.0" customHeight="1">
      <c r="A7" s="1"/>
      <c r="B7" s="27"/>
      <c r="C7" s="19" t="s">
        <v>9</v>
      </c>
      <c r="D7" s="14"/>
      <c r="E7" s="1"/>
      <c r="F7" s="28" t="s">
        <v>10</v>
      </c>
      <c r="G7" s="29"/>
      <c r="H7" s="30">
        <v>1.0</v>
      </c>
      <c r="I7" s="11"/>
      <c r="J7" s="11"/>
      <c r="K7" s="11"/>
      <c r="L7" s="31" t="s">
        <v>10</v>
      </c>
      <c r="M7" s="29"/>
      <c r="N7" s="32">
        <v>5.0</v>
      </c>
      <c r="O7" s="11"/>
      <c r="P7" s="11"/>
      <c r="Q7" s="33" t="s">
        <v>11</v>
      </c>
      <c r="R7" s="34">
        <f>IFERROR(INT(R6/7)," ")</f>
        <v>16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ht="15.0" customHeight="1">
      <c r="A8" s="1"/>
      <c r="B8" s="27"/>
      <c r="C8" s="19" t="s">
        <v>12</v>
      </c>
      <c r="D8" s="14"/>
      <c r="E8" s="1"/>
      <c r="F8" s="35" t="s">
        <v>13</v>
      </c>
      <c r="G8" s="36"/>
      <c r="H8" s="37">
        <v>12.0</v>
      </c>
      <c r="I8" s="11"/>
      <c r="J8" s="11"/>
      <c r="K8" s="11"/>
      <c r="L8" s="38" t="s">
        <v>13</v>
      </c>
      <c r="M8" s="36"/>
      <c r="N8" s="39">
        <v>4.0</v>
      </c>
      <c r="O8" s="11"/>
      <c r="P8" s="11"/>
      <c r="Q8" s="40" t="s">
        <v>14</v>
      </c>
      <c r="R8" s="41">
        <f>IFERROR(NETWORKDAYS(AT8,AT12)," ")</f>
        <v>81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42">
        <f>IFERROR(DATEVALUE(N6 &amp; "/"  &amp;N7 &amp; "/" &amp;N8)," ")</f>
        <v>46146</v>
      </c>
      <c r="AS8" s="42"/>
      <c r="AT8" s="43">
        <f>IFERROR(DATEVALUE(H6 &amp; "/"  &amp;H7 &amp; "/" &amp;H8)," ")</f>
        <v>46034</v>
      </c>
    </row>
    <row r="9" ht="13.5" customHeight="1">
      <c r="A9" s="1"/>
      <c r="B9" s="44"/>
      <c r="C9" s="19" t="s">
        <v>15</v>
      </c>
      <c r="D9" s="14"/>
      <c r="E9" s="45"/>
      <c r="F9" s="1"/>
      <c r="G9" s="1"/>
      <c r="H9" s="1"/>
      <c r="I9" s="1"/>
      <c r="J9" s="11"/>
      <c r="K9" s="11"/>
      <c r="L9" s="11"/>
      <c r="M9" s="11"/>
      <c r="N9" s="11"/>
      <c r="O9" s="11"/>
      <c r="P9" s="11"/>
      <c r="Q9" s="1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42"/>
      <c r="AS9" s="42"/>
      <c r="AT9" s="43"/>
    </row>
    <row r="10" ht="22.5" customHeight="1">
      <c r="A10" s="1"/>
      <c r="B10" s="46"/>
      <c r="C10" s="47"/>
      <c r="D10" s="47"/>
      <c r="E10" s="1"/>
      <c r="F10" s="48" t="s">
        <v>16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4"/>
      <c r="AO10" s="1"/>
      <c r="AP10" s="1"/>
      <c r="AQ10" s="1"/>
      <c r="AR10" s="42"/>
      <c r="AS10" s="42"/>
      <c r="AT10" s="43"/>
    </row>
    <row r="11" ht="21.75" customHeight="1">
      <c r="A11" s="1"/>
      <c r="B11" s="49" t="s">
        <v>17</v>
      </c>
      <c r="C11" s="13"/>
      <c r="D11" s="14"/>
      <c r="E11" s="1"/>
      <c r="F11" s="50" t="s">
        <v>18</v>
      </c>
      <c r="G11" s="29"/>
      <c r="H11" s="50" t="s">
        <v>19</v>
      </c>
      <c r="I11" s="29"/>
      <c r="J11" s="50" t="s">
        <v>20</v>
      </c>
      <c r="K11" s="29"/>
      <c r="L11" s="50" t="s">
        <v>21</v>
      </c>
      <c r="M11" s="29"/>
      <c r="N11" s="50" t="s">
        <v>22</v>
      </c>
      <c r="O11" s="29"/>
      <c r="P11" s="50" t="s">
        <v>23</v>
      </c>
      <c r="Q11" s="29"/>
      <c r="R11" s="50" t="s">
        <v>24</v>
      </c>
      <c r="S11" s="29"/>
      <c r="T11" s="50" t="s">
        <v>25</v>
      </c>
      <c r="U11" s="29"/>
      <c r="V11" s="50" t="s">
        <v>26</v>
      </c>
      <c r="W11" s="29"/>
      <c r="X11" s="50" t="s">
        <v>27</v>
      </c>
      <c r="Y11" s="29"/>
      <c r="Z11" s="50" t="s">
        <v>28</v>
      </c>
      <c r="AA11" s="29"/>
      <c r="AB11" s="50" t="s">
        <v>29</v>
      </c>
      <c r="AC11" s="29"/>
      <c r="AD11" s="50" t="s">
        <v>30</v>
      </c>
      <c r="AE11" s="29"/>
      <c r="AF11" s="50" t="s">
        <v>31</v>
      </c>
      <c r="AG11" s="29"/>
      <c r="AH11" s="51" t="s">
        <v>32</v>
      </c>
      <c r="AI11" s="52"/>
      <c r="AJ11" s="21"/>
      <c r="AK11" s="53" t="s">
        <v>33</v>
      </c>
      <c r="AL11" s="50" t="s">
        <v>34</v>
      </c>
      <c r="AM11" s="54"/>
      <c r="AN11" s="55" t="s">
        <v>35</v>
      </c>
      <c r="AO11" s="1"/>
      <c r="AP11" s="1"/>
      <c r="AQ11" s="1"/>
      <c r="AR11" s="42"/>
      <c r="AS11" s="42"/>
      <c r="AT11" s="43"/>
    </row>
    <row r="12" ht="18.75" customHeight="1">
      <c r="A12" s="3"/>
      <c r="B12" s="56">
        <v>2.0</v>
      </c>
      <c r="C12" s="49" t="s">
        <v>36</v>
      </c>
      <c r="D12" s="14"/>
      <c r="E12" s="3"/>
      <c r="F12" s="57" t="s">
        <v>37</v>
      </c>
      <c r="G12" s="57" t="s">
        <v>38</v>
      </c>
      <c r="H12" s="57" t="s">
        <v>37</v>
      </c>
      <c r="I12" s="57" t="s">
        <v>38</v>
      </c>
      <c r="J12" s="57" t="s">
        <v>37</v>
      </c>
      <c r="K12" s="57" t="s">
        <v>38</v>
      </c>
      <c r="L12" s="57" t="s">
        <v>37</v>
      </c>
      <c r="M12" s="57" t="s">
        <v>38</v>
      </c>
      <c r="N12" s="57" t="s">
        <v>37</v>
      </c>
      <c r="O12" s="57" t="s">
        <v>38</v>
      </c>
      <c r="P12" s="57" t="s">
        <v>37</v>
      </c>
      <c r="Q12" s="57" t="s">
        <v>38</v>
      </c>
      <c r="R12" s="57" t="s">
        <v>37</v>
      </c>
      <c r="S12" s="57" t="s">
        <v>38</v>
      </c>
      <c r="T12" s="57" t="s">
        <v>37</v>
      </c>
      <c r="U12" s="57" t="s">
        <v>38</v>
      </c>
      <c r="V12" s="57" t="s">
        <v>37</v>
      </c>
      <c r="W12" s="57" t="s">
        <v>38</v>
      </c>
      <c r="X12" s="57" t="s">
        <v>37</v>
      </c>
      <c r="Y12" s="57" t="s">
        <v>38</v>
      </c>
      <c r="Z12" s="57" t="s">
        <v>37</v>
      </c>
      <c r="AA12" s="57" t="s">
        <v>38</v>
      </c>
      <c r="AB12" s="57" t="s">
        <v>37</v>
      </c>
      <c r="AC12" s="57" t="s">
        <v>38</v>
      </c>
      <c r="AD12" s="57" t="s">
        <v>37</v>
      </c>
      <c r="AE12" s="57" t="s">
        <v>38</v>
      </c>
      <c r="AF12" s="57" t="s">
        <v>37</v>
      </c>
      <c r="AG12" s="57" t="s">
        <v>38</v>
      </c>
      <c r="AH12" s="57" t="s">
        <v>37</v>
      </c>
      <c r="AI12" s="57" t="s">
        <v>38</v>
      </c>
      <c r="AJ12" s="57" t="s">
        <v>39</v>
      </c>
      <c r="AK12" s="57" t="s">
        <v>39</v>
      </c>
      <c r="AL12" s="57" t="s">
        <v>40</v>
      </c>
      <c r="AM12" s="58" t="s">
        <v>39</v>
      </c>
      <c r="AN12" s="57" t="s">
        <v>38</v>
      </c>
      <c r="AO12" s="3"/>
      <c r="AP12" s="3"/>
      <c r="AQ12" s="3"/>
      <c r="AR12" s="59">
        <f>IFERROR(DATEVALUE(H6 &amp; "/"  &amp;H7 &amp; "/" &amp;H8)," ")</f>
        <v>46034</v>
      </c>
      <c r="AS12" s="59"/>
      <c r="AT12" s="60">
        <f>IFERROR(DATEVALUE(N6 &amp; "/"  &amp;N7 &amp; "/" &amp;N8)," ")</f>
        <v>46146</v>
      </c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</row>
    <row r="13" ht="15.0" customHeight="1">
      <c r="A13" s="1"/>
      <c r="B13" s="62"/>
      <c r="C13" s="49" t="s">
        <v>41</v>
      </c>
      <c r="D13" s="14"/>
      <c r="E13" s="11"/>
      <c r="F13" s="63">
        <f>DATEVALUE(H6 &amp; "/" &amp; H7 &amp; "/" &amp; H8)</f>
        <v>46034</v>
      </c>
      <c r="G13" s="64">
        <f>F13+2</f>
        <v>46036</v>
      </c>
      <c r="H13" s="64">
        <f>G13+5</f>
        <v>46041</v>
      </c>
      <c r="I13" s="64">
        <f>H13+2</f>
        <v>46043</v>
      </c>
      <c r="J13" s="64">
        <f>I13+5</f>
        <v>46048</v>
      </c>
      <c r="K13" s="64">
        <f>J13+2</f>
        <v>46050</v>
      </c>
      <c r="L13" s="64">
        <f>K13+5</f>
        <v>46055</v>
      </c>
      <c r="M13" s="64">
        <f>L13+2</f>
        <v>46057</v>
      </c>
      <c r="N13" s="64">
        <f>M13+5</f>
        <v>46062</v>
      </c>
      <c r="O13" s="64">
        <f>N13+2</f>
        <v>46064</v>
      </c>
      <c r="P13" s="64">
        <f>O13+5</f>
        <v>46069</v>
      </c>
      <c r="Q13" s="64">
        <f>P13+2</f>
        <v>46071</v>
      </c>
      <c r="R13" s="64">
        <f>Q13+5</f>
        <v>46076</v>
      </c>
      <c r="S13" s="64">
        <f>R13+2</f>
        <v>46078</v>
      </c>
      <c r="T13" s="64">
        <f>S13+5</f>
        <v>46083</v>
      </c>
      <c r="U13" s="64">
        <f>T13+2</f>
        <v>46085</v>
      </c>
      <c r="V13" s="64">
        <f>U13+5</f>
        <v>46090</v>
      </c>
      <c r="W13" s="64">
        <f>V13+2</f>
        <v>46092</v>
      </c>
      <c r="X13" s="64">
        <f>W13+5</f>
        <v>46097</v>
      </c>
      <c r="Y13" s="64">
        <f>X13+2</f>
        <v>46099</v>
      </c>
      <c r="Z13" s="64">
        <f>Y13+5</f>
        <v>46104</v>
      </c>
      <c r="AA13" s="64">
        <f>Z13+2</f>
        <v>46106</v>
      </c>
      <c r="AB13" s="64">
        <f>AA13+5</f>
        <v>46111</v>
      </c>
      <c r="AC13" s="64">
        <f>AB13+2</f>
        <v>46113</v>
      </c>
      <c r="AD13" s="64">
        <f>AC13+5</f>
        <v>46118</v>
      </c>
      <c r="AE13" s="64">
        <f>AD13+2</f>
        <v>46120</v>
      </c>
      <c r="AF13" s="65">
        <f>AE13+5</f>
        <v>46125</v>
      </c>
      <c r="AG13" s="64">
        <f>AF13+2</f>
        <v>46127</v>
      </c>
      <c r="AH13" s="64">
        <f>AG13+5</f>
        <v>46132</v>
      </c>
      <c r="AI13" s="64">
        <f t="shared" ref="AI13:AJ13" si="1">AH13+2</f>
        <v>46134</v>
      </c>
      <c r="AJ13" s="64">
        <f t="shared" si="1"/>
        <v>46136</v>
      </c>
      <c r="AK13" s="64">
        <f>AJ13+7</f>
        <v>46143</v>
      </c>
      <c r="AL13" s="64">
        <f t="shared" ref="AL13:AM13" si="2">AK13+4</f>
        <v>46147</v>
      </c>
      <c r="AM13" s="66">
        <f t="shared" si="2"/>
        <v>46151</v>
      </c>
      <c r="AN13" s="67">
        <f>AM13+6</f>
        <v>46157</v>
      </c>
      <c r="AO13" s="1"/>
      <c r="AP13" s="1"/>
      <c r="AQ13" s="1"/>
      <c r="AR13" s="1"/>
      <c r="AS13" s="1"/>
    </row>
    <row r="14" ht="15.0" customHeight="1">
      <c r="A14" s="2"/>
      <c r="B14" s="68"/>
      <c r="C14" s="49" t="s">
        <v>42</v>
      </c>
      <c r="D14" s="14"/>
      <c r="E14" s="69"/>
      <c r="F14" s="70" t="s">
        <v>43</v>
      </c>
      <c r="G14" s="71" t="s">
        <v>44</v>
      </c>
      <c r="H14" s="70" t="s">
        <v>45</v>
      </c>
      <c r="I14" s="71" t="s">
        <v>44</v>
      </c>
      <c r="J14" s="71" t="s">
        <v>44</v>
      </c>
      <c r="K14" s="71" t="s">
        <v>44</v>
      </c>
      <c r="L14" s="71" t="s">
        <v>44</v>
      </c>
      <c r="M14" s="71" t="s">
        <v>44</v>
      </c>
      <c r="N14" s="71" t="s">
        <v>44</v>
      </c>
      <c r="O14" s="71" t="s">
        <v>44</v>
      </c>
      <c r="P14" s="72" t="s">
        <v>46</v>
      </c>
      <c r="Q14" s="72" t="s">
        <v>47</v>
      </c>
      <c r="R14" s="72" t="s">
        <v>48</v>
      </c>
      <c r="S14" s="72" t="s">
        <v>49</v>
      </c>
      <c r="T14" s="73" t="s">
        <v>50</v>
      </c>
      <c r="U14" s="73" t="s">
        <v>51</v>
      </c>
      <c r="V14" s="73" t="s">
        <v>52</v>
      </c>
      <c r="W14" s="73" t="s">
        <v>53</v>
      </c>
      <c r="X14" s="70" t="s">
        <v>54</v>
      </c>
      <c r="Y14" s="70" t="s">
        <v>54</v>
      </c>
      <c r="Z14" s="71" t="s">
        <v>44</v>
      </c>
      <c r="AA14" s="71" t="s">
        <v>44</v>
      </c>
      <c r="AB14" s="74" t="s">
        <v>55</v>
      </c>
      <c r="AC14" s="74" t="s">
        <v>56</v>
      </c>
      <c r="AD14" s="74" t="s">
        <v>57</v>
      </c>
      <c r="AE14" s="74" t="s">
        <v>58</v>
      </c>
      <c r="AF14" s="75" t="s">
        <v>59</v>
      </c>
      <c r="AG14" s="75" t="s">
        <v>60</v>
      </c>
      <c r="AH14" s="71"/>
      <c r="AI14" s="71"/>
      <c r="AJ14" s="76" t="s">
        <v>61</v>
      </c>
      <c r="AK14" s="77" t="s">
        <v>62</v>
      </c>
      <c r="AL14" s="78" t="s">
        <v>63</v>
      </c>
      <c r="AM14" s="79"/>
      <c r="AN14" s="80"/>
      <c r="AO14" s="1"/>
      <c r="AP14" s="1"/>
      <c r="AQ14" s="1"/>
      <c r="AR14" s="1"/>
      <c r="AS14" s="1"/>
    </row>
    <row r="15" ht="15.0" customHeight="1">
      <c r="A15" s="2"/>
      <c r="B15" s="81"/>
      <c r="C15" s="3"/>
      <c r="D15" s="11"/>
      <c r="E15" s="82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3"/>
      <c r="AL15" s="84"/>
      <c r="AM15" s="85"/>
      <c r="AN15" s="27"/>
      <c r="AO15" s="1"/>
      <c r="AP15" s="1"/>
      <c r="AQ15" s="1"/>
      <c r="AR15" s="1"/>
      <c r="AS15" s="1"/>
      <c r="AT15" s="1"/>
    </row>
    <row r="16" ht="34.5" customHeight="1">
      <c r="B16" s="86" t="s">
        <v>64</v>
      </c>
      <c r="C16" s="87"/>
      <c r="D16" s="29"/>
      <c r="E16" s="11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3"/>
      <c r="AL16" s="84"/>
      <c r="AM16" s="85"/>
      <c r="AN16" s="27"/>
      <c r="AO16" s="1"/>
      <c r="AP16" s="1"/>
      <c r="AQ16" s="1"/>
      <c r="AR16" s="1"/>
      <c r="AS16" s="1"/>
      <c r="AT16" s="1"/>
    </row>
    <row r="17" ht="15.0" customHeight="1">
      <c r="A17" s="1"/>
      <c r="B17" s="88">
        <v>3.0</v>
      </c>
      <c r="C17" s="89" t="s">
        <v>65</v>
      </c>
      <c r="D17" s="14"/>
      <c r="E17" s="69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3"/>
      <c r="AL17" s="84"/>
      <c r="AM17" s="85"/>
      <c r="AN17" s="27"/>
      <c r="AO17" s="1"/>
      <c r="AP17" s="1"/>
      <c r="AQ17" s="1"/>
      <c r="AR17" s="1"/>
      <c r="AS17" s="1"/>
      <c r="AT17" s="1"/>
    </row>
    <row r="18" ht="15.0" customHeight="1">
      <c r="A18" s="1"/>
      <c r="B18" s="27"/>
      <c r="C18" s="89" t="s">
        <v>66</v>
      </c>
      <c r="D18" s="14"/>
      <c r="E18" s="90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3"/>
      <c r="AL18" s="84"/>
      <c r="AM18" s="85"/>
      <c r="AN18" s="27"/>
      <c r="AO18" s="1"/>
      <c r="AP18" s="1"/>
      <c r="AQ18" s="1"/>
      <c r="AR18" s="1"/>
      <c r="AS18" s="1"/>
      <c r="AT18" s="1"/>
    </row>
    <row r="19" ht="15.0" customHeight="1">
      <c r="A19" s="1"/>
      <c r="B19" s="27"/>
      <c r="C19" s="89" t="s">
        <v>67</v>
      </c>
      <c r="D19" s="14"/>
      <c r="E19" s="90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3"/>
      <c r="AL19" s="84"/>
      <c r="AM19" s="85"/>
      <c r="AN19" s="27"/>
      <c r="AO19" s="1"/>
      <c r="AP19" s="1"/>
      <c r="AQ19" s="1"/>
      <c r="AR19" s="1"/>
      <c r="AS19" s="1"/>
      <c r="AT19" s="1"/>
    </row>
    <row r="20" ht="15.0" customHeight="1">
      <c r="A20" s="1"/>
      <c r="B20" s="44"/>
      <c r="C20" s="89" t="s">
        <v>68</v>
      </c>
      <c r="D20" s="14"/>
      <c r="E20" s="90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3"/>
      <c r="AL20" s="84"/>
      <c r="AM20" s="85"/>
      <c r="AN20" s="27"/>
      <c r="AO20" s="1"/>
      <c r="AP20" s="1"/>
      <c r="AQ20" s="1"/>
      <c r="AR20" s="1"/>
      <c r="AS20" s="1"/>
      <c r="AT20" s="1"/>
    </row>
    <row r="21" ht="15.0" customHeight="1">
      <c r="A21" s="1"/>
      <c r="B21" s="11"/>
      <c r="C21" s="11"/>
      <c r="D21" s="1"/>
      <c r="E21" s="90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3"/>
      <c r="AL21" s="84"/>
      <c r="AM21" s="85"/>
      <c r="AN21" s="27"/>
      <c r="AO21" s="1"/>
      <c r="AP21" s="1"/>
      <c r="AQ21" s="1"/>
      <c r="AR21" s="1"/>
      <c r="AS21" s="1"/>
      <c r="AT21" s="1"/>
    </row>
    <row r="22" ht="15.0" customHeight="1">
      <c r="A22" s="1"/>
      <c r="B22" s="91" t="s">
        <v>69</v>
      </c>
      <c r="C22" s="13"/>
      <c r="D22" s="14"/>
      <c r="E22" s="82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3"/>
      <c r="AL22" s="84"/>
      <c r="AM22" s="85"/>
      <c r="AN22" s="27"/>
      <c r="AO22" s="1"/>
      <c r="AP22" s="1"/>
      <c r="AQ22" s="1"/>
      <c r="AR22" s="1"/>
      <c r="AS22" s="1"/>
      <c r="AT22" s="1"/>
    </row>
    <row r="23" ht="15.0" customHeight="1">
      <c r="A23" s="1"/>
      <c r="B23" s="92">
        <v>4.0</v>
      </c>
      <c r="C23" s="93" t="s">
        <v>70</v>
      </c>
      <c r="D23" s="14"/>
      <c r="E23" s="94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3"/>
      <c r="AL23" s="84"/>
      <c r="AM23" s="85"/>
      <c r="AN23" s="27"/>
      <c r="AO23" s="1"/>
      <c r="AP23" s="1"/>
      <c r="AQ23" s="1"/>
      <c r="AR23" s="1"/>
      <c r="AS23" s="1"/>
      <c r="AT23" s="1"/>
    </row>
    <row r="24" ht="15.0" customHeight="1">
      <c r="A24" s="1"/>
      <c r="B24" s="44"/>
      <c r="C24" s="93" t="s">
        <v>71</v>
      </c>
      <c r="D24" s="14"/>
      <c r="E24" s="94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3"/>
      <c r="AL24" s="84"/>
      <c r="AM24" s="85"/>
      <c r="AN24" s="27"/>
      <c r="AO24" s="1"/>
      <c r="AP24" s="1"/>
      <c r="AQ24" s="1"/>
      <c r="AR24" s="1"/>
      <c r="AS24" s="1"/>
      <c r="AT24" s="1"/>
    </row>
    <row r="25" ht="15.0" customHeight="1">
      <c r="A25" s="1"/>
      <c r="B25" s="2"/>
      <c r="C25" s="95"/>
      <c r="E25" s="94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3"/>
      <c r="AL25" s="84"/>
      <c r="AM25" s="85"/>
      <c r="AN25" s="27"/>
      <c r="AO25" s="1"/>
      <c r="AP25" s="1"/>
      <c r="AQ25" s="1"/>
      <c r="AR25" s="1"/>
      <c r="AS25" s="1"/>
      <c r="AT25" s="1"/>
    </row>
    <row r="26" ht="28.5" customHeight="1">
      <c r="A26" s="2"/>
      <c r="B26" s="96" t="s">
        <v>72</v>
      </c>
      <c r="C26" s="13"/>
      <c r="D26" s="14"/>
      <c r="E26" s="94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3"/>
      <c r="AL26" s="84"/>
      <c r="AM26" s="85"/>
      <c r="AN26" s="27"/>
      <c r="AO26" s="1"/>
      <c r="AP26" s="1"/>
      <c r="AQ26" s="1"/>
      <c r="AR26" s="1"/>
      <c r="AS26" s="1"/>
      <c r="AT26" s="1"/>
    </row>
    <row r="27" ht="15.0" customHeight="1">
      <c r="A27" s="2"/>
      <c r="B27" s="97">
        <v>5.0</v>
      </c>
      <c r="C27" s="98" t="s">
        <v>73</v>
      </c>
      <c r="D27" s="14"/>
      <c r="E27" s="94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3"/>
      <c r="AL27" s="84"/>
      <c r="AM27" s="85"/>
      <c r="AN27" s="27"/>
      <c r="AO27" s="1"/>
      <c r="AP27" s="1"/>
      <c r="AQ27" s="1"/>
      <c r="AR27" s="1"/>
      <c r="AS27" s="1"/>
      <c r="AT27" s="1"/>
    </row>
    <row r="28" ht="15.0" customHeight="1">
      <c r="A28" s="2"/>
      <c r="B28" s="99"/>
      <c r="C28" s="98" t="s">
        <v>74</v>
      </c>
      <c r="D28" s="14"/>
      <c r="E28" s="94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3"/>
      <c r="AL28" s="84"/>
      <c r="AM28" s="85"/>
      <c r="AN28" s="27"/>
      <c r="AO28" s="1"/>
      <c r="AP28" s="1"/>
      <c r="AQ28" s="1"/>
      <c r="AR28" s="1"/>
      <c r="AS28" s="1"/>
      <c r="AT28" s="1"/>
    </row>
    <row r="29" ht="15.0" customHeight="1">
      <c r="A29" s="1"/>
      <c r="B29" s="100"/>
      <c r="C29" s="95"/>
      <c r="E29" s="1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3"/>
      <c r="AL29" s="84"/>
      <c r="AM29" s="85"/>
      <c r="AN29" s="27"/>
      <c r="AO29" s="1"/>
      <c r="AP29" s="1"/>
      <c r="AQ29" s="1"/>
      <c r="AR29" s="1"/>
      <c r="AS29" s="1"/>
      <c r="AT29" s="1"/>
    </row>
    <row r="30" ht="15.75" customHeight="1">
      <c r="A30" s="2"/>
      <c r="B30" s="101" t="s">
        <v>75</v>
      </c>
      <c r="C30" s="13"/>
      <c r="D30" s="14"/>
      <c r="E30" s="1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3"/>
      <c r="AL30" s="84"/>
      <c r="AM30" s="85"/>
      <c r="AN30" s="27"/>
      <c r="AO30" s="1"/>
      <c r="AP30" s="1"/>
      <c r="AQ30" s="1"/>
      <c r="AR30" s="1"/>
      <c r="AS30" s="1"/>
      <c r="AT30" s="1"/>
    </row>
    <row r="31" ht="15.75" customHeight="1">
      <c r="A31" s="2"/>
      <c r="B31" s="102">
        <v>6.0</v>
      </c>
      <c r="C31" s="101" t="s">
        <v>76</v>
      </c>
      <c r="D31" s="14"/>
      <c r="E31" s="1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3"/>
      <c r="AL31" s="84"/>
      <c r="AM31" s="85"/>
      <c r="AN31" s="27"/>
      <c r="AO31" s="1"/>
      <c r="AP31" s="1"/>
      <c r="AQ31" s="1"/>
      <c r="AR31" s="1"/>
      <c r="AS31" s="1"/>
      <c r="AT31" s="1"/>
    </row>
    <row r="32" ht="15.75" customHeight="1">
      <c r="A32" s="2"/>
      <c r="B32" s="44"/>
      <c r="C32" s="101" t="s">
        <v>77</v>
      </c>
      <c r="D32" s="14"/>
      <c r="E32" s="1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3"/>
      <c r="AL32" s="84"/>
      <c r="AM32" s="85"/>
      <c r="AN32" s="27"/>
      <c r="AO32" s="1"/>
      <c r="AP32" s="1"/>
      <c r="AQ32" s="1"/>
      <c r="AR32" s="1"/>
      <c r="AS32" s="1"/>
      <c r="AT32" s="1"/>
    </row>
    <row r="33" ht="15.75" customHeight="1">
      <c r="A33" s="2"/>
      <c r="B33" s="11"/>
      <c r="C33" s="95"/>
      <c r="E33" s="1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3"/>
      <c r="AL33" s="84"/>
      <c r="AM33" s="85"/>
      <c r="AN33" s="27"/>
      <c r="AO33" s="1"/>
      <c r="AP33" s="1"/>
      <c r="AQ33" s="1"/>
      <c r="AR33" s="1"/>
      <c r="AS33" s="1"/>
      <c r="AT33" s="1"/>
    </row>
    <row r="34" ht="15.0" customHeight="1">
      <c r="A34" s="2"/>
      <c r="B34" s="103" t="s">
        <v>78</v>
      </c>
      <c r="C34" s="13"/>
      <c r="D34" s="14"/>
      <c r="E34" s="1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3"/>
      <c r="AL34" s="84"/>
      <c r="AM34" s="85"/>
      <c r="AN34" s="27"/>
      <c r="AO34" s="1"/>
      <c r="AP34" s="1"/>
      <c r="AQ34" s="1"/>
      <c r="AR34" s="1"/>
      <c r="AS34" s="1"/>
      <c r="AT34" s="1"/>
    </row>
    <row r="35" ht="15.0" customHeight="1">
      <c r="A35" s="2"/>
      <c r="B35" s="104">
        <v>7.0</v>
      </c>
      <c r="C35" s="103" t="s">
        <v>79</v>
      </c>
      <c r="D35" s="14"/>
      <c r="E35" s="1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3"/>
      <c r="AL35" s="84"/>
      <c r="AM35" s="85"/>
      <c r="AN35" s="27"/>
      <c r="AO35" s="1"/>
      <c r="AP35" s="1"/>
      <c r="AQ35" s="1"/>
      <c r="AR35" s="1"/>
      <c r="AS35" s="1"/>
      <c r="AT35" s="1"/>
    </row>
    <row r="36" ht="15.0" customHeight="1">
      <c r="A36" s="2"/>
      <c r="B36" s="27"/>
      <c r="C36" s="105" t="s">
        <v>80</v>
      </c>
      <c r="D36" s="14"/>
      <c r="E36" s="1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3"/>
      <c r="AL36" s="84"/>
      <c r="AM36" s="85"/>
      <c r="AN36" s="27"/>
      <c r="AO36" s="1"/>
      <c r="AP36" s="1"/>
      <c r="AQ36" s="1"/>
      <c r="AR36" s="1"/>
      <c r="AS36" s="1"/>
      <c r="AT36" s="1"/>
    </row>
    <row r="37" ht="15.0" customHeight="1">
      <c r="A37" s="2"/>
      <c r="B37" s="99"/>
      <c r="C37" s="105"/>
      <c r="D37" s="14"/>
      <c r="E37" s="1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3"/>
      <c r="AL37" s="84"/>
      <c r="AM37" s="85"/>
      <c r="AN37" s="27"/>
      <c r="AO37" s="1"/>
      <c r="AP37" s="1"/>
      <c r="AQ37" s="1"/>
      <c r="AR37" s="1"/>
      <c r="AS37" s="1"/>
      <c r="AT37" s="1"/>
    </row>
    <row r="38" ht="15.75" customHeight="1">
      <c r="A38" s="1"/>
      <c r="B38" s="100"/>
      <c r="C38" s="106"/>
      <c r="E38" s="1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3"/>
      <c r="AL38" s="84"/>
      <c r="AM38" s="85"/>
      <c r="AN38" s="27"/>
      <c r="AO38" s="1"/>
      <c r="AP38" s="1"/>
      <c r="AQ38" s="1"/>
      <c r="AR38" s="1"/>
      <c r="AS38" s="1"/>
      <c r="AT38" s="1"/>
    </row>
    <row r="39" ht="15.75" customHeight="1">
      <c r="A39" s="2"/>
      <c r="B39" s="107" t="s">
        <v>81</v>
      </c>
      <c r="C39" s="13"/>
      <c r="D39" s="14"/>
      <c r="E39" s="1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3"/>
      <c r="AL39" s="84"/>
      <c r="AM39" s="85"/>
      <c r="AN39" s="27"/>
      <c r="AO39" s="1"/>
      <c r="AP39" s="1"/>
      <c r="AQ39" s="1"/>
      <c r="AR39" s="1"/>
      <c r="AS39" s="1"/>
      <c r="AT39" s="1"/>
    </row>
    <row r="40" ht="15.0" customHeight="1">
      <c r="A40" s="2"/>
      <c r="B40" s="108">
        <v>8.0</v>
      </c>
      <c r="C40" s="107" t="s">
        <v>82</v>
      </c>
      <c r="D40" s="14"/>
      <c r="E40" s="1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3"/>
      <c r="AL40" s="84"/>
      <c r="AM40" s="85"/>
      <c r="AN40" s="27"/>
      <c r="AO40" s="1"/>
      <c r="AP40" s="1"/>
      <c r="AQ40" s="1"/>
      <c r="AR40" s="1"/>
      <c r="AS40" s="1"/>
      <c r="AT40" s="1"/>
    </row>
    <row r="41" ht="15.0" customHeight="1">
      <c r="A41" s="2"/>
      <c r="B41" s="27"/>
      <c r="C41" s="109" t="s">
        <v>83</v>
      </c>
      <c r="D41" s="14"/>
      <c r="E41" s="1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3"/>
      <c r="AL41" s="84"/>
      <c r="AM41" s="85"/>
      <c r="AN41" s="27"/>
      <c r="AO41" s="1"/>
      <c r="AP41" s="1"/>
      <c r="AQ41" s="1"/>
      <c r="AR41" s="1"/>
      <c r="AS41" s="1"/>
      <c r="AT41" s="1"/>
    </row>
    <row r="42" ht="15.0" customHeight="1">
      <c r="A42" s="2"/>
      <c r="B42" s="27"/>
      <c r="C42" s="109" t="s">
        <v>84</v>
      </c>
      <c r="D42" s="14"/>
      <c r="E42" s="1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3"/>
      <c r="AL42" s="84"/>
      <c r="AM42" s="85"/>
      <c r="AN42" s="27"/>
      <c r="AO42" s="1"/>
      <c r="AP42" s="1"/>
      <c r="AQ42" s="1"/>
      <c r="AR42" s="1"/>
      <c r="AS42" s="1"/>
      <c r="AT42" s="1"/>
    </row>
    <row r="43" ht="15.0" customHeight="1">
      <c r="A43" s="2"/>
      <c r="B43" s="44"/>
      <c r="C43" s="109" t="s">
        <v>85</v>
      </c>
      <c r="D43" s="14"/>
      <c r="E43" s="1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3"/>
      <c r="AL43" s="84"/>
      <c r="AM43" s="85"/>
      <c r="AN43" s="27"/>
      <c r="AO43" s="1"/>
      <c r="AP43" s="1"/>
      <c r="AQ43" s="1"/>
      <c r="AR43" s="1"/>
      <c r="AS43" s="1"/>
      <c r="AT43" s="1"/>
    </row>
    <row r="44" ht="15.75" customHeight="1">
      <c r="A44" s="1"/>
      <c r="B44" s="2"/>
      <c r="C44" s="95"/>
      <c r="E44" s="1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3"/>
      <c r="AL44" s="84"/>
      <c r="AM44" s="85"/>
      <c r="AN44" s="27"/>
      <c r="AO44" s="1"/>
      <c r="AP44" s="1"/>
      <c r="AQ44" s="1"/>
      <c r="AR44" s="1"/>
      <c r="AS44" s="1"/>
      <c r="AT44" s="1"/>
    </row>
    <row r="45" ht="15.75" customHeight="1">
      <c r="A45" s="1"/>
      <c r="B45" s="110" t="s">
        <v>86</v>
      </c>
      <c r="C45" s="13"/>
      <c r="D45" s="14"/>
      <c r="E45" s="1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3"/>
      <c r="AL45" s="84"/>
      <c r="AM45" s="85"/>
      <c r="AN45" s="27"/>
      <c r="AO45" s="1"/>
      <c r="AP45" s="1"/>
      <c r="AQ45" s="1"/>
      <c r="AR45" s="1"/>
      <c r="AS45" s="1"/>
      <c r="AT45" s="1"/>
    </row>
    <row r="46" ht="15.75" customHeight="1">
      <c r="A46" s="1"/>
      <c r="B46" s="111">
        <v>9.0</v>
      </c>
      <c r="C46" s="110" t="s">
        <v>87</v>
      </c>
      <c r="D46" s="14"/>
      <c r="E46" s="1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3"/>
      <c r="AL46" s="84"/>
      <c r="AM46" s="85"/>
      <c r="AN46" s="27"/>
      <c r="AO46" s="1"/>
      <c r="AP46" s="1"/>
      <c r="AQ46" s="1"/>
      <c r="AR46" s="1"/>
      <c r="AS46" s="1"/>
      <c r="AT46" s="1"/>
    </row>
    <row r="47" ht="15.75" customHeight="1">
      <c r="A47" s="1"/>
      <c r="B47" s="27"/>
      <c r="C47" s="110" t="s">
        <v>88</v>
      </c>
      <c r="D47" s="14"/>
      <c r="E47" s="1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3"/>
      <c r="AL47" s="84"/>
      <c r="AM47" s="85"/>
      <c r="AN47" s="27"/>
      <c r="AO47" s="1"/>
      <c r="AP47" s="1"/>
      <c r="AQ47" s="1"/>
      <c r="AR47" s="1"/>
      <c r="AS47" s="1"/>
      <c r="AT47" s="1"/>
    </row>
    <row r="48" ht="15.75" customHeight="1">
      <c r="A48" s="1"/>
      <c r="B48" s="27"/>
      <c r="C48" s="110" t="s">
        <v>89</v>
      </c>
      <c r="D48" s="14"/>
      <c r="E48" s="1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112"/>
      <c r="AL48" s="113"/>
      <c r="AM48" s="114"/>
      <c r="AN48" s="44"/>
      <c r="AO48" s="1"/>
      <c r="AP48" s="1"/>
      <c r="AQ48" s="1"/>
      <c r="AR48" s="1"/>
      <c r="AS48" s="1"/>
      <c r="AT48" s="1"/>
    </row>
    <row r="49" ht="20.25" customHeight="1">
      <c r="A49" s="1"/>
      <c r="B49" s="44"/>
      <c r="C49" s="110" t="s">
        <v>90</v>
      </c>
      <c r="D49" s="14"/>
      <c r="E49" s="1"/>
      <c r="F49" s="115"/>
      <c r="G49" s="115"/>
      <c r="H49" s="1"/>
      <c r="I49" s="115" t="s">
        <v>54</v>
      </c>
      <c r="J49" s="116"/>
      <c r="K49" s="115"/>
      <c r="L49" s="117"/>
      <c r="M49" s="117"/>
      <c r="N49" s="115"/>
      <c r="O49" s="1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ht="20.25" customHeight="1">
      <c r="A50" s="1"/>
      <c r="B50" s="46"/>
      <c r="C50" s="95"/>
      <c r="D50" s="95"/>
      <c r="E50" s="1"/>
      <c r="F50" s="115"/>
      <c r="G50" s="115"/>
      <c r="H50" s="1"/>
      <c r="I50" s="115"/>
      <c r="J50" s="116"/>
      <c r="K50" s="115"/>
      <c r="L50" s="117"/>
      <c r="M50" s="117"/>
      <c r="N50" s="115"/>
      <c r="O50" s="1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ht="33.75" customHeight="1">
      <c r="A51" s="1"/>
      <c r="B51" s="118" t="s">
        <v>91</v>
      </c>
      <c r="C51" s="13"/>
      <c r="D51" s="14"/>
      <c r="E51" s="1"/>
      <c r="F51" s="119" t="s">
        <v>92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4"/>
      <c r="AO51" s="1"/>
      <c r="AP51" s="1"/>
      <c r="AQ51" s="1"/>
      <c r="AR51" s="1"/>
      <c r="AS51" s="1"/>
      <c r="AT51" s="1"/>
    </row>
    <row r="52" ht="15.0" customHeight="1">
      <c r="A52" s="1"/>
      <c r="B52" s="92">
        <v>10.0</v>
      </c>
      <c r="C52" s="120" t="s">
        <v>93</v>
      </c>
      <c r="D52" s="1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ht="15.0" customHeight="1">
      <c r="A53" s="1"/>
      <c r="B53" s="27"/>
      <c r="C53" s="121" t="s">
        <v>94</v>
      </c>
      <c r="D53" s="14"/>
      <c r="E53" s="1"/>
      <c r="F53" s="122" t="s">
        <v>18</v>
      </c>
      <c r="G53" s="123"/>
      <c r="H53" s="122" t="s">
        <v>19</v>
      </c>
      <c r="I53" s="123"/>
      <c r="J53" s="122" t="s">
        <v>20</v>
      </c>
      <c r="K53" s="123"/>
      <c r="L53" s="122" t="s">
        <v>21</v>
      </c>
      <c r="M53" s="123"/>
      <c r="N53" s="122" t="s">
        <v>22</v>
      </c>
      <c r="O53" s="123"/>
      <c r="P53" s="122" t="s">
        <v>23</v>
      </c>
      <c r="Q53" s="123"/>
      <c r="R53" s="122" t="s">
        <v>24</v>
      </c>
      <c r="S53" s="123"/>
      <c r="T53" s="122" t="s">
        <v>25</v>
      </c>
      <c r="U53" s="123"/>
      <c r="V53" s="122" t="s">
        <v>26</v>
      </c>
      <c r="W53" s="123"/>
      <c r="X53" s="122" t="s">
        <v>27</v>
      </c>
      <c r="Y53" s="123"/>
      <c r="Z53" s="122" t="s">
        <v>28</v>
      </c>
      <c r="AA53" s="123"/>
      <c r="AB53" s="122" t="s">
        <v>29</v>
      </c>
      <c r="AC53" s="123"/>
      <c r="AD53" s="122" t="s">
        <v>30</v>
      </c>
      <c r="AE53" s="123"/>
      <c r="AF53" s="122" t="s">
        <v>31</v>
      </c>
      <c r="AG53" s="123"/>
      <c r="AH53" s="122" t="s">
        <v>32</v>
      </c>
      <c r="AI53" s="123"/>
      <c r="AJ53" s="122" t="s">
        <v>33</v>
      </c>
      <c r="AK53" s="123"/>
      <c r="AL53" s="122" t="s">
        <v>34</v>
      </c>
      <c r="AM53" s="124"/>
      <c r="AN53" s="125" t="s">
        <v>35</v>
      </c>
      <c r="AO53" s="126"/>
      <c r="AP53" s="1"/>
      <c r="AQ53" s="1"/>
      <c r="AR53" s="1"/>
      <c r="AS53" s="1"/>
      <c r="AT53" s="1"/>
    </row>
    <row r="54" ht="15.0" customHeight="1">
      <c r="A54" s="1"/>
      <c r="B54" s="44"/>
      <c r="C54" s="93" t="s">
        <v>95</v>
      </c>
      <c r="D54" s="14"/>
      <c r="E54" s="1"/>
      <c r="F54" s="127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4"/>
      <c r="AO54" s="1"/>
      <c r="AP54" s="1"/>
      <c r="AQ54" s="1"/>
      <c r="AR54" s="1"/>
      <c r="AS54" s="1"/>
      <c r="AT54" s="1"/>
    </row>
    <row r="55" ht="15.75" customHeight="1">
      <c r="A55" s="1"/>
      <c r="B55" s="46"/>
      <c r="C55" s="95"/>
      <c r="E55" s="1"/>
      <c r="F55" s="63">
        <f>DATEVALUE(H6 &amp; "/" &amp; H7 &amp; "/" &amp; H8)</f>
        <v>46034</v>
      </c>
      <c r="G55" s="64">
        <f>F55+4</f>
        <v>46038</v>
      </c>
      <c r="H55" s="64">
        <f>F55+7</f>
        <v>46041</v>
      </c>
      <c r="I55" s="64">
        <f>H55+4</f>
        <v>46045</v>
      </c>
      <c r="J55" s="64">
        <f t="shared" ref="J55:AF55" si="3">H55+7</f>
        <v>46048</v>
      </c>
      <c r="K55" s="64">
        <f t="shared" si="3"/>
        <v>46052</v>
      </c>
      <c r="L55" s="64">
        <f t="shared" si="3"/>
        <v>46055</v>
      </c>
      <c r="M55" s="64">
        <f t="shared" si="3"/>
        <v>46059</v>
      </c>
      <c r="N55" s="64">
        <f t="shared" si="3"/>
        <v>46062</v>
      </c>
      <c r="O55" s="64">
        <f t="shared" si="3"/>
        <v>46066</v>
      </c>
      <c r="P55" s="64">
        <f t="shared" si="3"/>
        <v>46069</v>
      </c>
      <c r="Q55" s="64">
        <f t="shared" si="3"/>
        <v>46073</v>
      </c>
      <c r="R55" s="64">
        <f t="shared" si="3"/>
        <v>46076</v>
      </c>
      <c r="S55" s="64">
        <f t="shared" si="3"/>
        <v>46080</v>
      </c>
      <c r="T55" s="64">
        <f t="shared" si="3"/>
        <v>46083</v>
      </c>
      <c r="U55" s="64">
        <f t="shared" si="3"/>
        <v>46087</v>
      </c>
      <c r="V55" s="64">
        <f t="shared" si="3"/>
        <v>46090</v>
      </c>
      <c r="W55" s="64">
        <f t="shared" si="3"/>
        <v>46094</v>
      </c>
      <c r="X55" s="64">
        <f t="shared" si="3"/>
        <v>46097</v>
      </c>
      <c r="Y55" s="64">
        <f t="shared" si="3"/>
        <v>46101</v>
      </c>
      <c r="Z55" s="64">
        <f t="shared" si="3"/>
        <v>46104</v>
      </c>
      <c r="AA55" s="64">
        <f t="shared" si="3"/>
        <v>46108</v>
      </c>
      <c r="AB55" s="64">
        <f t="shared" si="3"/>
        <v>46111</v>
      </c>
      <c r="AC55" s="64">
        <f t="shared" si="3"/>
        <v>46115</v>
      </c>
      <c r="AD55" s="64">
        <f t="shared" si="3"/>
        <v>46118</v>
      </c>
      <c r="AE55" s="64">
        <f t="shared" si="3"/>
        <v>46122</v>
      </c>
      <c r="AF55" s="64">
        <f t="shared" si="3"/>
        <v>46125</v>
      </c>
      <c r="AG55" s="64">
        <f>AF55+4</f>
        <v>46129</v>
      </c>
      <c r="AH55" s="64">
        <f>AG55+3</f>
        <v>46132</v>
      </c>
      <c r="AI55" s="64">
        <f t="shared" ref="AI55:AJ55" si="4">AH55+2</f>
        <v>46134</v>
      </c>
      <c r="AJ55" s="64">
        <f t="shared" si="4"/>
        <v>46136</v>
      </c>
      <c r="AK55" s="64">
        <f>AJ55+7</f>
        <v>46143</v>
      </c>
      <c r="AL55" s="64">
        <f>AJ55+11</f>
        <v>46147</v>
      </c>
      <c r="AM55" s="64">
        <f>AK55+8</f>
        <v>46151</v>
      </c>
      <c r="AN55" s="64">
        <f>AM55+3</f>
        <v>46154</v>
      </c>
      <c r="AO55" s="1"/>
      <c r="AP55" s="1"/>
      <c r="AQ55" s="1"/>
      <c r="AR55" s="1"/>
      <c r="AS55" s="1"/>
      <c r="AT55" s="1"/>
    </row>
    <row r="56" ht="15.0" customHeight="1">
      <c r="A56" s="1"/>
      <c r="B56" s="95"/>
      <c r="C56" s="128"/>
      <c r="D56" s="128"/>
      <c r="E56" s="1"/>
      <c r="F56" s="129"/>
      <c r="G56" s="130" t="s">
        <v>96</v>
      </c>
      <c r="H56" s="130"/>
      <c r="I56" s="130" t="s">
        <v>97</v>
      </c>
      <c r="J56" s="130"/>
      <c r="K56" s="130"/>
      <c r="L56" s="130"/>
      <c r="M56" s="131" t="s">
        <v>98</v>
      </c>
      <c r="N56" s="132" t="s">
        <v>99</v>
      </c>
      <c r="O56" s="133"/>
      <c r="P56" s="130"/>
      <c r="Q56" s="130"/>
      <c r="R56" s="130"/>
      <c r="S56" s="130"/>
      <c r="T56" s="129" t="s">
        <v>100</v>
      </c>
      <c r="U56" s="130"/>
      <c r="V56" s="134"/>
      <c r="W56" s="130"/>
      <c r="X56" s="129" t="s">
        <v>54</v>
      </c>
      <c r="Y56" s="129" t="s">
        <v>54</v>
      </c>
      <c r="Z56" s="129" t="s">
        <v>101</v>
      </c>
      <c r="AA56" s="130"/>
      <c r="AB56" s="134"/>
      <c r="AC56" s="134"/>
      <c r="AD56" s="130"/>
      <c r="AE56" s="130"/>
      <c r="AF56" s="129" t="s">
        <v>102</v>
      </c>
      <c r="AG56" s="135" t="s">
        <v>103</v>
      </c>
      <c r="AH56" s="136" t="s">
        <v>104</v>
      </c>
      <c r="AI56" s="130"/>
      <c r="AJ56" s="130" t="s">
        <v>105</v>
      </c>
      <c r="AK56" s="137" t="s">
        <v>62</v>
      </c>
      <c r="AL56" s="138" t="s">
        <v>63</v>
      </c>
      <c r="AM56" s="6"/>
      <c r="AN56" s="139" t="s">
        <v>106</v>
      </c>
      <c r="AO56" s="1"/>
      <c r="AP56" s="1"/>
      <c r="AQ56" s="1"/>
      <c r="AR56" s="1"/>
      <c r="AS56" s="1"/>
      <c r="AT56" s="1"/>
    </row>
    <row r="57" ht="15.0" customHeight="1">
      <c r="A57" s="1"/>
      <c r="B57" s="140"/>
      <c r="C57" s="95"/>
      <c r="D57" s="95"/>
      <c r="E57" s="1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141"/>
      <c r="W57" s="27"/>
      <c r="X57" s="27"/>
      <c r="Y57" s="27"/>
      <c r="Z57" s="27"/>
      <c r="AA57" s="27"/>
      <c r="AB57" s="141"/>
      <c r="AC57" s="141"/>
      <c r="AD57" s="27"/>
      <c r="AE57" s="27"/>
      <c r="AF57" s="27"/>
      <c r="AG57" s="27"/>
      <c r="AH57" s="27"/>
      <c r="AI57" s="27"/>
      <c r="AJ57" s="27"/>
      <c r="AK57" s="27"/>
      <c r="AL57" s="142"/>
      <c r="AM57" s="143"/>
      <c r="AN57" s="27"/>
      <c r="AO57" s="1"/>
      <c r="AP57" s="1"/>
      <c r="AQ57" s="1"/>
      <c r="AR57" s="1"/>
      <c r="AS57" s="1"/>
      <c r="AT57" s="1"/>
    </row>
    <row r="58" ht="15.0" customHeight="1">
      <c r="A58" s="1"/>
      <c r="C58" s="144"/>
      <c r="E58" s="1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141"/>
      <c r="W58" s="27"/>
      <c r="X58" s="27"/>
      <c r="Y58" s="27"/>
      <c r="Z58" s="27"/>
      <c r="AA58" s="27"/>
      <c r="AB58" s="141"/>
      <c r="AC58" s="141"/>
      <c r="AD58" s="27"/>
      <c r="AE58" s="27"/>
      <c r="AF58" s="27"/>
      <c r="AG58" s="27"/>
      <c r="AH58" s="27"/>
      <c r="AI58" s="27"/>
      <c r="AJ58" s="27"/>
      <c r="AK58" s="27"/>
      <c r="AL58" s="142"/>
      <c r="AM58" s="143"/>
      <c r="AN58" s="27"/>
      <c r="AO58" s="1"/>
      <c r="AP58" s="1"/>
      <c r="AQ58" s="1"/>
      <c r="AR58" s="1"/>
      <c r="AS58" s="1"/>
      <c r="AT58" s="1"/>
    </row>
    <row r="59" ht="15.0" customHeight="1">
      <c r="A59" s="1"/>
      <c r="C59" s="95"/>
      <c r="E59" s="1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141"/>
      <c r="W59" s="27"/>
      <c r="X59" s="27"/>
      <c r="Y59" s="27"/>
      <c r="Z59" s="27"/>
      <c r="AA59" s="27"/>
      <c r="AB59" s="141"/>
      <c r="AC59" s="141"/>
      <c r="AD59" s="27"/>
      <c r="AE59" s="27"/>
      <c r="AF59" s="27"/>
      <c r="AG59" s="27"/>
      <c r="AH59" s="27"/>
      <c r="AI59" s="27"/>
      <c r="AJ59" s="27"/>
      <c r="AK59" s="27"/>
      <c r="AL59" s="142"/>
      <c r="AM59" s="143"/>
      <c r="AN59" s="27"/>
      <c r="AO59" s="1"/>
      <c r="AP59" s="1"/>
      <c r="AQ59" s="1"/>
      <c r="AR59" s="1"/>
      <c r="AS59" s="1"/>
      <c r="AT59" s="1"/>
    </row>
    <row r="60" ht="14.25" customHeight="1">
      <c r="A60" s="145"/>
      <c r="C60" s="95"/>
      <c r="E60" s="1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141"/>
      <c r="W60" s="27"/>
      <c r="X60" s="27"/>
      <c r="Y60" s="27"/>
      <c r="Z60" s="27"/>
      <c r="AA60" s="27"/>
      <c r="AB60" s="141"/>
      <c r="AC60" s="141"/>
      <c r="AD60" s="27"/>
      <c r="AE60" s="27"/>
      <c r="AF60" s="27"/>
      <c r="AG60" s="27"/>
      <c r="AH60" s="27"/>
      <c r="AI60" s="27"/>
      <c r="AJ60" s="27"/>
      <c r="AK60" s="27"/>
      <c r="AL60" s="142"/>
      <c r="AM60" s="143"/>
      <c r="AN60" s="27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ht="15.0" customHeight="1">
      <c r="A61" s="1"/>
      <c r="B61" s="140"/>
      <c r="C61" s="106"/>
      <c r="E61" s="1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141"/>
      <c r="W61" s="27"/>
      <c r="X61" s="27"/>
      <c r="Y61" s="27"/>
      <c r="Z61" s="27"/>
      <c r="AA61" s="27"/>
      <c r="AB61" s="141"/>
      <c r="AC61" s="141"/>
      <c r="AD61" s="27"/>
      <c r="AE61" s="27"/>
      <c r="AF61" s="27"/>
      <c r="AG61" s="27"/>
      <c r="AH61" s="27"/>
      <c r="AI61" s="27"/>
      <c r="AJ61" s="27"/>
      <c r="AK61" s="27"/>
      <c r="AL61" s="142"/>
      <c r="AM61" s="143"/>
      <c r="AN61" s="27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</row>
    <row r="62" ht="15.0" customHeight="1">
      <c r="A62" s="1"/>
      <c r="B62" s="95"/>
      <c r="C62" s="61"/>
      <c r="D62" s="61"/>
      <c r="E62" s="1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141"/>
      <c r="W62" s="27"/>
      <c r="X62" s="27"/>
      <c r="Y62" s="27"/>
      <c r="Z62" s="27"/>
      <c r="AA62" s="27"/>
      <c r="AB62" s="141"/>
      <c r="AC62" s="141"/>
      <c r="AD62" s="27"/>
      <c r="AE62" s="27"/>
      <c r="AF62" s="27"/>
      <c r="AG62" s="27"/>
      <c r="AH62" s="27"/>
      <c r="AI62" s="27"/>
      <c r="AJ62" s="27"/>
      <c r="AK62" s="27"/>
      <c r="AL62" s="142"/>
      <c r="AM62" s="143"/>
      <c r="AN62" s="27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</row>
    <row r="63" ht="15.0" customHeight="1">
      <c r="A63" s="1"/>
      <c r="B63" s="140"/>
      <c r="C63" s="95"/>
      <c r="D63" s="95"/>
      <c r="E63" s="1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141"/>
      <c r="W63" s="27"/>
      <c r="X63" s="27"/>
      <c r="Y63" s="27"/>
      <c r="Z63" s="27"/>
      <c r="AA63" s="27"/>
      <c r="AB63" s="141"/>
      <c r="AC63" s="141"/>
      <c r="AD63" s="27"/>
      <c r="AE63" s="27"/>
      <c r="AF63" s="27"/>
      <c r="AG63" s="27"/>
      <c r="AH63" s="27"/>
      <c r="AI63" s="27"/>
      <c r="AJ63" s="27"/>
      <c r="AK63" s="27"/>
      <c r="AL63" s="142"/>
      <c r="AM63" s="143"/>
      <c r="AN63" s="27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</row>
    <row r="64" ht="15.0" customHeight="1">
      <c r="A64" s="1"/>
      <c r="C64" s="95"/>
      <c r="E64" s="1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141"/>
      <c r="W64" s="27"/>
      <c r="X64" s="27"/>
      <c r="Y64" s="27"/>
      <c r="Z64" s="27"/>
      <c r="AA64" s="27"/>
      <c r="AB64" s="141"/>
      <c r="AC64" s="141"/>
      <c r="AD64" s="27"/>
      <c r="AE64" s="27"/>
      <c r="AF64" s="27"/>
      <c r="AG64" s="27"/>
      <c r="AH64" s="27"/>
      <c r="AI64" s="27"/>
      <c r="AJ64" s="27"/>
      <c r="AK64" s="27"/>
      <c r="AL64" s="142"/>
      <c r="AM64" s="143"/>
      <c r="AN64" s="27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</row>
    <row r="65" ht="15.0" customHeight="1">
      <c r="A65" s="1"/>
      <c r="C65" s="95"/>
      <c r="E65" s="1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141"/>
      <c r="W65" s="27"/>
      <c r="X65" s="27"/>
      <c r="Y65" s="27"/>
      <c r="Z65" s="27"/>
      <c r="AA65" s="27"/>
      <c r="AB65" s="141"/>
      <c r="AC65" s="141"/>
      <c r="AD65" s="27"/>
      <c r="AE65" s="27"/>
      <c r="AF65" s="27"/>
      <c r="AG65" s="27"/>
      <c r="AH65" s="27"/>
      <c r="AI65" s="27"/>
      <c r="AJ65" s="27"/>
      <c r="AK65" s="27"/>
      <c r="AL65" s="142"/>
      <c r="AM65" s="143"/>
      <c r="AN65" s="27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</row>
    <row r="66" ht="15.0" customHeight="1">
      <c r="A66" s="1"/>
      <c r="C66" s="95"/>
      <c r="E66" s="1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141"/>
      <c r="W66" s="27"/>
      <c r="X66" s="27"/>
      <c r="Y66" s="27"/>
      <c r="Z66" s="27"/>
      <c r="AA66" s="27"/>
      <c r="AB66" s="141"/>
      <c r="AC66" s="141"/>
      <c r="AD66" s="27"/>
      <c r="AE66" s="27"/>
      <c r="AF66" s="27"/>
      <c r="AG66" s="27"/>
      <c r="AH66" s="27"/>
      <c r="AI66" s="27"/>
      <c r="AJ66" s="27"/>
      <c r="AK66" s="27"/>
      <c r="AL66" s="142"/>
      <c r="AM66" s="143"/>
      <c r="AN66" s="27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ht="15.0" customHeight="1">
      <c r="A67" s="146"/>
      <c r="B67" s="140"/>
      <c r="C67" s="95"/>
      <c r="E67" s="1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141"/>
      <c r="W67" s="27"/>
      <c r="X67" s="27"/>
      <c r="Y67" s="27"/>
      <c r="Z67" s="27"/>
      <c r="AA67" s="27"/>
      <c r="AB67" s="141"/>
      <c r="AC67" s="141"/>
      <c r="AD67" s="27"/>
      <c r="AE67" s="27"/>
      <c r="AF67" s="27"/>
      <c r="AG67" s="27"/>
      <c r="AH67" s="27"/>
      <c r="AI67" s="27"/>
      <c r="AJ67" s="27"/>
      <c r="AK67" s="27"/>
      <c r="AL67" s="142"/>
      <c r="AM67" s="143"/>
      <c r="AN67" s="27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68" ht="15.0" customHeight="1">
      <c r="A68" s="1"/>
      <c r="B68" s="2"/>
      <c r="C68" s="3"/>
      <c r="D68" s="3"/>
      <c r="E68" s="1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141"/>
      <c r="W68" s="27"/>
      <c r="X68" s="27"/>
      <c r="Y68" s="27"/>
      <c r="Z68" s="27"/>
      <c r="AA68" s="27"/>
      <c r="AB68" s="141"/>
      <c r="AC68" s="141"/>
      <c r="AD68" s="27"/>
      <c r="AE68" s="27"/>
      <c r="AF68" s="27"/>
      <c r="AG68" s="27"/>
      <c r="AH68" s="27"/>
      <c r="AI68" s="27"/>
      <c r="AJ68" s="27"/>
      <c r="AK68" s="27"/>
      <c r="AL68" s="142"/>
      <c r="AM68" s="143"/>
      <c r="AN68" s="27"/>
      <c r="AO68" s="1"/>
      <c r="AP68" s="1"/>
      <c r="AQ68" s="1"/>
      <c r="AR68" s="1"/>
      <c r="AS68" s="1"/>
      <c r="AT68" s="1"/>
    </row>
    <row r="69" ht="15.0" customHeight="1">
      <c r="A69" s="1"/>
      <c r="B69" s="2"/>
      <c r="C69" s="3"/>
      <c r="D69" s="3"/>
      <c r="E69" s="1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141"/>
      <c r="W69" s="27"/>
      <c r="X69" s="27"/>
      <c r="Y69" s="27"/>
      <c r="Z69" s="27"/>
      <c r="AA69" s="27"/>
      <c r="AB69" s="141"/>
      <c r="AC69" s="141"/>
      <c r="AD69" s="27"/>
      <c r="AE69" s="27"/>
      <c r="AF69" s="27"/>
      <c r="AG69" s="27"/>
      <c r="AH69" s="27"/>
      <c r="AI69" s="27"/>
      <c r="AJ69" s="27"/>
      <c r="AK69" s="27"/>
      <c r="AL69" s="142"/>
      <c r="AM69" s="143"/>
      <c r="AN69" s="27"/>
      <c r="AO69" s="1"/>
      <c r="AP69" s="1"/>
      <c r="AQ69" s="1"/>
      <c r="AR69" s="1"/>
      <c r="AS69" s="1"/>
      <c r="AT69" s="1"/>
    </row>
    <row r="70" ht="15.0" customHeight="1">
      <c r="A70" s="1"/>
      <c r="B70" s="2"/>
      <c r="C70" s="3"/>
      <c r="D70" s="3"/>
      <c r="E70" s="1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141"/>
      <c r="W70" s="27"/>
      <c r="X70" s="27"/>
      <c r="Y70" s="27"/>
      <c r="Z70" s="27"/>
      <c r="AA70" s="27"/>
      <c r="AB70" s="141"/>
      <c r="AC70" s="141"/>
      <c r="AD70" s="27"/>
      <c r="AE70" s="27"/>
      <c r="AF70" s="27"/>
      <c r="AG70" s="27"/>
      <c r="AH70" s="27"/>
      <c r="AI70" s="27"/>
      <c r="AJ70" s="27"/>
      <c r="AK70" s="27"/>
      <c r="AL70" s="142"/>
      <c r="AM70" s="143"/>
      <c r="AN70" s="27"/>
      <c r="AO70" s="1"/>
      <c r="AP70" s="1"/>
      <c r="AQ70" s="1"/>
      <c r="AR70" s="1"/>
      <c r="AS70" s="1"/>
      <c r="AT70" s="1"/>
    </row>
    <row r="71" ht="15.0" customHeight="1">
      <c r="A71" s="1"/>
      <c r="B71" s="2"/>
      <c r="C71" s="3"/>
      <c r="D71" s="3"/>
      <c r="E71" s="1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141"/>
      <c r="W71" s="27"/>
      <c r="X71" s="27"/>
      <c r="Y71" s="27"/>
      <c r="Z71" s="27"/>
      <c r="AA71" s="27"/>
      <c r="AB71" s="141"/>
      <c r="AC71" s="141"/>
      <c r="AD71" s="27"/>
      <c r="AE71" s="27"/>
      <c r="AF71" s="27"/>
      <c r="AG71" s="27"/>
      <c r="AH71" s="27"/>
      <c r="AI71" s="27"/>
      <c r="AJ71" s="27"/>
      <c r="AK71" s="27"/>
      <c r="AL71" s="142"/>
      <c r="AM71" s="143"/>
      <c r="AN71" s="27"/>
      <c r="AO71" s="1"/>
      <c r="AP71" s="1"/>
      <c r="AQ71" s="1"/>
      <c r="AR71" s="1"/>
      <c r="AS71" s="1"/>
      <c r="AT71" s="1"/>
    </row>
    <row r="72" ht="15.0" customHeight="1">
      <c r="A72" s="1"/>
      <c r="B72" s="2"/>
      <c r="C72" s="3"/>
      <c r="D72" s="3"/>
      <c r="E72" s="1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141"/>
      <c r="W72" s="27"/>
      <c r="X72" s="27"/>
      <c r="Y72" s="27"/>
      <c r="Z72" s="27"/>
      <c r="AA72" s="27"/>
      <c r="AB72" s="141"/>
      <c r="AC72" s="141"/>
      <c r="AD72" s="27"/>
      <c r="AE72" s="27"/>
      <c r="AF72" s="27"/>
      <c r="AG72" s="27"/>
      <c r="AH72" s="27"/>
      <c r="AI72" s="27"/>
      <c r="AJ72" s="27"/>
      <c r="AK72" s="27"/>
      <c r="AL72" s="142"/>
      <c r="AM72" s="143"/>
      <c r="AN72" s="27"/>
      <c r="AO72" s="1"/>
      <c r="AP72" s="1"/>
      <c r="AQ72" s="1"/>
      <c r="AR72" s="1"/>
      <c r="AS72" s="1"/>
      <c r="AT72" s="1"/>
    </row>
    <row r="73" ht="15.0" customHeight="1">
      <c r="A73" s="1"/>
      <c r="B73" s="2"/>
      <c r="C73" s="3"/>
      <c r="D73" s="3"/>
      <c r="E73" s="1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141"/>
      <c r="W73" s="27"/>
      <c r="X73" s="27"/>
      <c r="Y73" s="27"/>
      <c r="Z73" s="27"/>
      <c r="AA73" s="27"/>
      <c r="AB73" s="141"/>
      <c r="AC73" s="141"/>
      <c r="AD73" s="27"/>
      <c r="AE73" s="27"/>
      <c r="AF73" s="27"/>
      <c r="AG73" s="27"/>
      <c r="AH73" s="27"/>
      <c r="AI73" s="27"/>
      <c r="AJ73" s="27"/>
      <c r="AK73" s="27"/>
      <c r="AL73" s="142"/>
      <c r="AM73" s="143"/>
      <c r="AN73" s="27"/>
      <c r="AO73" s="1"/>
      <c r="AP73" s="1"/>
      <c r="AQ73" s="1"/>
      <c r="AR73" s="1"/>
      <c r="AS73" s="1"/>
      <c r="AT73" s="1"/>
    </row>
    <row r="74" ht="15.0" customHeight="1">
      <c r="A74" s="1"/>
      <c r="B74" s="2"/>
      <c r="C74" s="3"/>
      <c r="D74" s="3"/>
      <c r="E74" s="1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141"/>
      <c r="W74" s="27"/>
      <c r="X74" s="27"/>
      <c r="Y74" s="27"/>
      <c r="Z74" s="27"/>
      <c r="AA74" s="27"/>
      <c r="AB74" s="141"/>
      <c r="AC74" s="141"/>
      <c r="AD74" s="27"/>
      <c r="AE74" s="27"/>
      <c r="AF74" s="27"/>
      <c r="AG74" s="27"/>
      <c r="AH74" s="27"/>
      <c r="AI74" s="27"/>
      <c r="AJ74" s="27"/>
      <c r="AK74" s="27"/>
      <c r="AL74" s="142"/>
      <c r="AM74" s="143"/>
      <c r="AN74" s="27"/>
      <c r="AO74" s="1"/>
      <c r="AP74" s="1"/>
      <c r="AQ74" s="1"/>
      <c r="AR74" s="1"/>
      <c r="AS74" s="1"/>
      <c r="AT74" s="1"/>
    </row>
    <row r="75" ht="15.0" customHeight="1">
      <c r="A75" s="1"/>
      <c r="B75" s="2"/>
      <c r="C75" s="3"/>
      <c r="D75" s="3"/>
      <c r="E75" s="1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141"/>
      <c r="W75" s="27"/>
      <c r="X75" s="27"/>
      <c r="Y75" s="27"/>
      <c r="Z75" s="27"/>
      <c r="AA75" s="27"/>
      <c r="AB75" s="141"/>
      <c r="AC75" s="141"/>
      <c r="AD75" s="27"/>
      <c r="AE75" s="27"/>
      <c r="AF75" s="27"/>
      <c r="AG75" s="27"/>
      <c r="AH75" s="27"/>
      <c r="AI75" s="27"/>
      <c r="AJ75" s="27"/>
      <c r="AK75" s="27"/>
      <c r="AL75" s="142"/>
      <c r="AM75" s="143"/>
      <c r="AN75" s="27"/>
      <c r="AO75" s="1"/>
      <c r="AP75" s="1"/>
      <c r="AQ75" s="1"/>
      <c r="AR75" s="1"/>
      <c r="AS75" s="1"/>
      <c r="AT75" s="1"/>
    </row>
    <row r="76" ht="15.0" customHeight="1">
      <c r="A76" s="1"/>
      <c r="B76" s="2"/>
      <c r="C76" s="3"/>
      <c r="D76" s="3"/>
      <c r="E76" s="1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141"/>
      <c r="W76" s="27"/>
      <c r="X76" s="27"/>
      <c r="Y76" s="27"/>
      <c r="Z76" s="27"/>
      <c r="AA76" s="27"/>
      <c r="AB76" s="141"/>
      <c r="AC76" s="141"/>
      <c r="AD76" s="27"/>
      <c r="AE76" s="27"/>
      <c r="AF76" s="27"/>
      <c r="AG76" s="27"/>
      <c r="AH76" s="27"/>
      <c r="AI76" s="27"/>
      <c r="AJ76" s="27"/>
      <c r="AK76" s="27"/>
      <c r="AL76" s="142"/>
      <c r="AM76" s="143"/>
      <c r="AN76" s="27"/>
      <c r="AO76" s="1"/>
      <c r="AP76" s="1"/>
      <c r="AQ76" s="1"/>
      <c r="AR76" s="1"/>
      <c r="AS76" s="1"/>
      <c r="AT76" s="1"/>
    </row>
    <row r="77" ht="15.0" customHeight="1">
      <c r="A77" s="1"/>
      <c r="B77" s="2"/>
      <c r="C77" s="3"/>
      <c r="D77" s="3"/>
      <c r="E77" s="1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141"/>
      <c r="W77" s="27"/>
      <c r="X77" s="27"/>
      <c r="Y77" s="27"/>
      <c r="Z77" s="27"/>
      <c r="AA77" s="27"/>
      <c r="AB77" s="141"/>
      <c r="AC77" s="141"/>
      <c r="AD77" s="27"/>
      <c r="AE77" s="27"/>
      <c r="AF77" s="27"/>
      <c r="AG77" s="27"/>
      <c r="AH77" s="27"/>
      <c r="AI77" s="27"/>
      <c r="AJ77" s="27"/>
      <c r="AK77" s="27"/>
      <c r="AL77" s="142"/>
      <c r="AM77" s="143"/>
      <c r="AN77" s="27"/>
      <c r="AO77" s="1"/>
      <c r="AP77" s="1"/>
      <c r="AQ77" s="1"/>
      <c r="AR77" s="1"/>
      <c r="AS77" s="1"/>
      <c r="AT77" s="1"/>
    </row>
    <row r="78" ht="15.0" customHeight="1">
      <c r="A78" s="1"/>
      <c r="B78" s="2"/>
      <c r="C78" s="3"/>
      <c r="D78" s="3"/>
      <c r="E78" s="1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141"/>
      <c r="W78" s="27"/>
      <c r="X78" s="27"/>
      <c r="Y78" s="27"/>
      <c r="Z78" s="27"/>
      <c r="AA78" s="99"/>
      <c r="AB78" s="141"/>
      <c r="AC78" s="141"/>
      <c r="AD78" s="27"/>
      <c r="AE78" s="27"/>
      <c r="AF78" s="27"/>
      <c r="AG78" s="27"/>
      <c r="AH78" s="27"/>
      <c r="AI78" s="27"/>
      <c r="AJ78" s="27"/>
      <c r="AK78" s="27"/>
      <c r="AL78" s="142"/>
      <c r="AM78" s="143"/>
      <c r="AN78" s="27"/>
      <c r="AO78" s="1"/>
      <c r="AP78" s="1"/>
      <c r="AQ78" s="1"/>
      <c r="AR78" s="1"/>
      <c r="AS78" s="1"/>
      <c r="AT78" s="1"/>
    </row>
    <row r="79" ht="15.0" customHeight="1">
      <c r="A79" s="1"/>
      <c r="B79" s="46"/>
      <c r="C79" s="3"/>
      <c r="D79" s="3"/>
      <c r="E79" s="1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147"/>
      <c r="W79" s="44"/>
      <c r="X79" s="44"/>
      <c r="Y79" s="44"/>
      <c r="Z79" s="44"/>
      <c r="AA79" s="147"/>
      <c r="AB79" s="147"/>
      <c r="AC79" s="147"/>
      <c r="AD79" s="44"/>
      <c r="AE79" s="44"/>
      <c r="AF79" s="44"/>
      <c r="AG79" s="44"/>
      <c r="AH79" s="44"/>
      <c r="AI79" s="44"/>
      <c r="AJ79" s="44"/>
      <c r="AK79" s="44"/>
      <c r="AL79" s="8"/>
      <c r="AM79" s="10"/>
      <c r="AN79" s="44"/>
      <c r="AO79" s="1"/>
      <c r="AP79" s="1"/>
      <c r="AQ79" s="1"/>
      <c r="AR79" s="1"/>
      <c r="AS79" s="1"/>
      <c r="AT79" s="1"/>
    </row>
    <row r="80" ht="15.0" customHeight="1">
      <c r="A80" s="1"/>
      <c r="B80" s="2"/>
      <c r="C80" s="6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15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16"/>
      <c r="AL80" s="1"/>
      <c r="AM80" s="1"/>
      <c r="AN80" s="1"/>
      <c r="AO80" s="1"/>
      <c r="AP80" s="1"/>
      <c r="AQ80" s="1"/>
      <c r="AR80" s="1"/>
      <c r="AS80" s="1"/>
      <c r="AT80" s="1"/>
    </row>
    <row r="81" ht="15.0" customHeight="1">
      <c r="A81" s="1"/>
      <c r="B81" s="2"/>
      <c r="C81" s="3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15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16"/>
      <c r="AL81" s="1"/>
      <c r="AM81" s="1"/>
      <c r="AN81" s="1"/>
      <c r="AO81" s="1"/>
      <c r="AP81" s="1"/>
      <c r="AQ81" s="1"/>
      <c r="AR81" s="1"/>
      <c r="AS81" s="1"/>
      <c r="AT81" s="1"/>
    </row>
    <row r="82" ht="15.0" customHeight="1">
      <c r="A82" s="1"/>
      <c r="B82" s="2"/>
      <c r="C82" s="3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15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16"/>
      <c r="AL82" s="1"/>
      <c r="AM82" s="1"/>
      <c r="AN82" s="1"/>
      <c r="AO82" s="1"/>
      <c r="AP82" s="1"/>
      <c r="AQ82" s="1"/>
      <c r="AR82" s="1"/>
      <c r="AS82" s="1"/>
      <c r="AT82" s="1"/>
    </row>
    <row r="83" ht="15.0" customHeight="1">
      <c r="A83" s="1"/>
      <c r="B83" s="148" t="s">
        <v>107</v>
      </c>
      <c r="C83" s="29"/>
      <c r="D83" s="149" t="s">
        <v>108</v>
      </c>
      <c r="E83" s="150" t="s">
        <v>109</v>
      </c>
      <c r="F83" s="151" t="s">
        <v>110</v>
      </c>
      <c r="G83" s="2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15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16"/>
      <c r="AL83" s="1"/>
      <c r="AM83" s="1"/>
      <c r="AN83" s="1"/>
      <c r="AO83" s="1"/>
      <c r="AP83" s="1"/>
      <c r="AQ83" s="1"/>
      <c r="AR83" s="1"/>
      <c r="AS83" s="1"/>
      <c r="AT83" s="1"/>
    </row>
    <row r="84" ht="28.5" customHeight="1">
      <c r="A84" s="1"/>
      <c r="B84" s="152" t="s">
        <v>111</v>
      </c>
      <c r="C84" s="29"/>
      <c r="D84" s="153" t="s">
        <v>112</v>
      </c>
      <c r="E84" s="154">
        <v>2108.0</v>
      </c>
      <c r="F84" s="155" t="s">
        <v>113</v>
      </c>
      <c r="G84" s="155" t="s">
        <v>114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15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16"/>
      <c r="AL84" s="1"/>
      <c r="AM84" s="1"/>
      <c r="AN84" s="1"/>
      <c r="AO84" s="1"/>
      <c r="AP84" s="1"/>
      <c r="AQ84" s="1"/>
      <c r="AR84" s="1"/>
      <c r="AS84" s="1"/>
      <c r="AT84" s="1"/>
    </row>
    <row r="85" ht="28.5" customHeight="1">
      <c r="A85" s="1"/>
      <c r="B85" s="152" t="s">
        <v>115</v>
      </c>
      <c r="C85" s="29"/>
      <c r="D85" s="153" t="s">
        <v>116</v>
      </c>
      <c r="E85" s="154">
        <v>2108.0</v>
      </c>
      <c r="F85" s="155" t="s">
        <v>113</v>
      </c>
      <c r="G85" s="155" t="s">
        <v>114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15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16"/>
      <c r="AL85" s="1"/>
      <c r="AM85" s="1"/>
      <c r="AN85" s="1"/>
      <c r="AO85" s="1"/>
      <c r="AP85" s="1"/>
      <c r="AQ85" s="1"/>
      <c r="AR85" s="1"/>
      <c r="AS85" s="1"/>
      <c r="AT85" s="1"/>
    </row>
    <row r="86" ht="28.5" customHeight="1">
      <c r="A86" s="1"/>
      <c r="B86" s="152" t="s">
        <v>117</v>
      </c>
      <c r="C86" s="29"/>
      <c r="D86" s="153" t="s">
        <v>118</v>
      </c>
      <c r="E86" s="154">
        <v>2108.0</v>
      </c>
      <c r="F86" s="155" t="s">
        <v>113</v>
      </c>
      <c r="G86" s="155" t="s">
        <v>114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15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16"/>
      <c r="AL86" s="1"/>
      <c r="AM86" s="1"/>
      <c r="AN86" s="1"/>
      <c r="AO86" s="1"/>
      <c r="AP86" s="1"/>
      <c r="AQ86" s="1"/>
      <c r="AR86" s="1"/>
      <c r="AS86" s="1"/>
      <c r="AT86" s="1"/>
    </row>
    <row r="87" ht="15.0" customHeight="1">
      <c r="A87" s="1"/>
      <c r="B87" s="156" t="s">
        <v>119</v>
      </c>
      <c r="C87" s="29"/>
      <c r="D87" s="157" t="s">
        <v>120</v>
      </c>
      <c r="E87" s="158">
        <v>2104.0</v>
      </c>
      <c r="F87" s="159" t="s">
        <v>121</v>
      </c>
      <c r="G87" s="160" t="s">
        <v>122</v>
      </c>
      <c r="H87" s="161"/>
      <c r="I87" s="161"/>
      <c r="J87" s="161"/>
      <c r="K87" s="161"/>
      <c r="L87" s="161"/>
      <c r="M87" s="161"/>
      <c r="N87" s="161"/>
      <c r="O87" s="1"/>
      <c r="P87" s="1"/>
      <c r="Q87" s="1"/>
      <c r="R87" s="1"/>
      <c r="S87" s="1"/>
      <c r="T87" s="1"/>
      <c r="U87" s="1"/>
      <c r="V87" s="1"/>
      <c r="W87" s="1"/>
      <c r="X87" s="115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16"/>
      <c r="AL87" s="1"/>
      <c r="AM87" s="1"/>
      <c r="AN87" s="1"/>
      <c r="AO87" s="1"/>
      <c r="AP87" s="1"/>
      <c r="AQ87" s="1"/>
      <c r="AR87" s="1"/>
      <c r="AS87" s="1"/>
      <c r="AT87" s="1"/>
    </row>
    <row r="88" ht="28.5" customHeight="1">
      <c r="A88" s="1"/>
      <c r="B88" s="156" t="s">
        <v>123</v>
      </c>
      <c r="C88" s="29"/>
      <c r="D88" s="157" t="s">
        <v>124</v>
      </c>
      <c r="E88" s="158">
        <v>2104.0</v>
      </c>
      <c r="F88" s="159" t="s">
        <v>121</v>
      </c>
      <c r="G88" s="160" t="s">
        <v>122</v>
      </c>
      <c r="H88" s="161"/>
      <c r="I88" s="161"/>
      <c r="J88" s="161"/>
      <c r="K88" s="162"/>
      <c r="L88" s="161"/>
      <c r="M88" s="161"/>
      <c r="N88" s="161"/>
      <c r="O88" s="1"/>
      <c r="P88" s="1"/>
      <c r="Q88" s="1"/>
      <c r="R88" s="1"/>
      <c r="S88" s="1"/>
      <c r="T88" s="1"/>
      <c r="U88" s="1"/>
      <c r="V88" s="1"/>
      <c r="W88" s="1"/>
      <c r="X88" s="115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16"/>
      <c r="AL88" s="1"/>
      <c r="AM88" s="1"/>
      <c r="AN88" s="1"/>
      <c r="AO88" s="1"/>
      <c r="AP88" s="1"/>
      <c r="AQ88" s="1"/>
      <c r="AR88" s="1"/>
      <c r="AS88" s="1"/>
      <c r="AT88" s="1"/>
    </row>
    <row r="89" ht="15.0" customHeight="1">
      <c r="A89" s="1"/>
      <c r="B89" s="156" t="s">
        <v>125</v>
      </c>
      <c r="C89" s="29"/>
      <c r="D89" s="157" t="s">
        <v>126</v>
      </c>
      <c r="E89" s="158">
        <v>2104.0</v>
      </c>
      <c r="F89" s="159" t="s">
        <v>121</v>
      </c>
      <c r="G89" s="160" t="s">
        <v>122</v>
      </c>
      <c r="H89" s="163"/>
      <c r="I89" s="163"/>
      <c r="J89" s="163"/>
      <c r="K89" s="163"/>
      <c r="L89" s="163"/>
      <c r="M89" s="163"/>
      <c r="N89" s="163"/>
      <c r="O89" s="1"/>
      <c r="P89" s="1"/>
      <c r="Q89" s="1"/>
      <c r="R89" s="1"/>
      <c r="S89" s="1"/>
      <c r="T89" s="1"/>
      <c r="U89" s="1"/>
      <c r="V89" s="1"/>
      <c r="W89" s="1"/>
      <c r="X89" s="115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16"/>
      <c r="AL89" s="1"/>
      <c r="AM89" s="1"/>
      <c r="AN89" s="1"/>
      <c r="AO89" s="1"/>
      <c r="AP89" s="1"/>
      <c r="AQ89" s="1"/>
      <c r="AR89" s="1"/>
      <c r="AS89" s="1"/>
      <c r="AT89" s="1"/>
    </row>
    <row r="90" ht="15.0" customHeight="1">
      <c r="A90" s="1"/>
      <c r="B90" s="164" t="s">
        <v>127</v>
      </c>
      <c r="C90" s="29"/>
      <c r="D90" s="165" t="s">
        <v>128</v>
      </c>
      <c r="E90" s="166">
        <v>2100.0</v>
      </c>
      <c r="F90" s="167" t="s">
        <v>129</v>
      </c>
      <c r="G90" s="168" t="s">
        <v>130</v>
      </c>
      <c r="H90" s="163"/>
      <c r="I90" s="163"/>
      <c r="J90" s="163"/>
      <c r="K90" s="163"/>
      <c r="L90" s="163"/>
      <c r="M90" s="163"/>
      <c r="N90" s="163"/>
      <c r="O90" s="1"/>
      <c r="P90" s="1"/>
      <c r="Q90" s="1"/>
      <c r="R90" s="1"/>
      <c r="S90" s="1"/>
      <c r="T90" s="1"/>
      <c r="U90" s="1"/>
      <c r="V90" s="1"/>
      <c r="W90" s="1"/>
      <c r="X90" s="115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16"/>
      <c r="AL90" s="1"/>
      <c r="AM90" s="1"/>
      <c r="AN90" s="1"/>
      <c r="AO90" s="1"/>
      <c r="AP90" s="1"/>
      <c r="AQ90" s="1"/>
      <c r="AR90" s="1"/>
      <c r="AS90" s="1"/>
      <c r="AT90" s="1"/>
    </row>
    <row r="91" ht="15.0" customHeight="1">
      <c r="A91" s="1"/>
      <c r="B91" s="164" t="s">
        <v>131</v>
      </c>
      <c r="C91" s="29"/>
      <c r="D91" s="165" t="s">
        <v>132</v>
      </c>
      <c r="E91" s="166">
        <v>2100.0</v>
      </c>
      <c r="F91" s="167" t="s">
        <v>129</v>
      </c>
      <c r="G91" s="168" t="s">
        <v>130</v>
      </c>
      <c r="H91" s="163"/>
      <c r="I91" s="163"/>
      <c r="J91" s="163"/>
      <c r="K91" s="163"/>
      <c r="L91" s="163"/>
      <c r="M91" s="163"/>
      <c r="N91" s="163"/>
      <c r="O91" s="1"/>
      <c r="P91" s="1"/>
      <c r="Q91" s="1"/>
      <c r="R91" s="1"/>
      <c r="S91" s="1"/>
      <c r="T91" s="1"/>
      <c r="U91" s="1"/>
      <c r="V91" s="1"/>
      <c r="W91" s="1"/>
      <c r="X91" s="115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16"/>
      <c r="AL91" s="1"/>
      <c r="AM91" s="1"/>
      <c r="AN91" s="1"/>
      <c r="AO91" s="1"/>
      <c r="AP91" s="1"/>
      <c r="AQ91" s="1"/>
      <c r="AR91" s="1"/>
      <c r="AS91" s="1"/>
      <c r="AT91" s="1"/>
    </row>
    <row r="92" ht="15.0" customHeight="1">
      <c r="A92" s="1"/>
      <c r="B92" s="164" t="s">
        <v>133</v>
      </c>
      <c r="C92" s="29"/>
      <c r="D92" s="165" t="s">
        <v>134</v>
      </c>
      <c r="E92" s="166">
        <v>2100.0</v>
      </c>
      <c r="F92" s="167" t="s">
        <v>129</v>
      </c>
      <c r="G92" s="168" t="s">
        <v>130</v>
      </c>
      <c r="H92" s="163"/>
      <c r="I92" s="163"/>
      <c r="J92" s="163"/>
      <c r="K92" s="163"/>
      <c r="L92" s="163"/>
      <c r="M92" s="163"/>
      <c r="N92" s="163"/>
      <c r="O92" s="1"/>
      <c r="P92" s="1"/>
      <c r="Q92" s="1"/>
      <c r="R92" s="1"/>
      <c r="S92" s="1"/>
      <c r="T92" s="1"/>
      <c r="U92" s="1"/>
      <c r="V92" s="1"/>
      <c r="W92" s="1"/>
      <c r="X92" s="115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16"/>
      <c r="AL92" s="1"/>
      <c r="AM92" s="1"/>
      <c r="AN92" s="1"/>
      <c r="AO92" s="1"/>
      <c r="AP92" s="1"/>
      <c r="AQ92" s="1"/>
      <c r="AR92" s="1"/>
      <c r="AS92" s="1"/>
      <c r="AT92" s="1"/>
    </row>
    <row r="93" ht="28.5" customHeight="1">
      <c r="A93" s="1"/>
      <c r="B93" s="164" t="s">
        <v>135</v>
      </c>
      <c r="C93" s="29"/>
      <c r="D93" s="165" t="s">
        <v>136</v>
      </c>
      <c r="E93" s="166">
        <v>2100.0</v>
      </c>
      <c r="F93" s="167" t="s">
        <v>129</v>
      </c>
      <c r="G93" s="168" t="s">
        <v>130</v>
      </c>
      <c r="H93" s="163"/>
      <c r="I93" s="163"/>
      <c r="J93" s="163"/>
      <c r="K93" s="163"/>
      <c r="L93" s="163"/>
      <c r="M93" s="163"/>
      <c r="N93" s="163"/>
      <c r="O93" s="1"/>
      <c r="P93" s="1"/>
      <c r="Q93" s="1"/>
      <c r="R93" s="1"/>
      <c r="S93" s="1"/>
      <c r="T93" s="1"/>
      <c r="U93" s="1"/>
      <c r="V93" s="1"/>
      <c r="W93" s="1"/>
      <c r="X93" s="115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16"/>
      <c r="AL93" s="1"/>
      <c r="AM93" s="1"/>
      <c r="AN93" s="1"/>
      <c r="AO93" s="1"/>
      <c r="AP93" s="1"/>
      <c r="AQ93" s="1"/>
      <c r="AR93" s="1"/>
      <c r="AS93" s="1"/>
      <c r="AT93" s="1"/>
    </row>
    <row r="94" ht="15.0" customHeight="1">
      <c r="A94" s="1"/>
      <c r="B94" s="163"/>
      <c r="C94" s="163"/>
      <c r="D94" s="3"/>
      <c r="E94" s="1"/>
      <c r="F94" s="163"/>
      <c r="G94" s="169"/>
      <c r="H94" s="163"/>
      <c r="I94" s="163"/>
      <c r="J94" s="163"/>
      <c r="K94" s="163"/>
      <c r="L94" s="163"/>
      <c r="M94" s="163"/>
      <c r="N94" s="163"/>
      <c r="O94" s="1"/>
      <c r="P94" s="1"/>
      <c r="Q94" s="1"/>
      <c r="R94" s="1"/>
      <c r="S94" s="1"/>
      <c r="T94" s="1"/>
      <c r="U94" s="1"/>
      <c r="V94" s="1"/>
      <c r="W94" s="1"/>
      <c r="X94" s="115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16"/>
      <c r="AL94" s="1"/>
      <c r="AM94" s="1"/>
      <c r="AN94" s="1"/>
      <c r="AO94" s="1"/>
      <c r="AP94" s="1"/>
      <c r="AQ94" s="1"/>
      <c r="AR94" s="1"/>
      <c r="AS94" s="1"/>
      <c r="AT94" s="1"/>
    </row>
    <row r="95" ht="15.0" customHeight="1">
      <c r="A95" s="1"/>
      <c r="B95" s="163"/>
      <c r="C95" s="163"/>
      <c r="D95" s="3"/>
      <c r="E95" s="1"/>
      <c r="F95" s="163"/>
      <c r="G95" s="169"/>
      <c r="H95" s="163"/>
      <c r="I95" s="163"/>
      <c r="J95" s="163"/>
      <c r="K95" s="163"/>
      <c r="L95" s="163"/>
      <c r="M95" s="163"/>
      <c r="N95" s="163"/>
      <c r="O95" s="1"/>
      <c r="P95" s="1"/>
      <c r="Q95" s="1"/>
      <c r="R95" s="1"/>
      <c r="S95" s="1"/>
      <c r="T95" s="1"/>
      <c r="U95" s="1"/>
      <c r="V95" s="1"/>
      <c r="W95" s="1"/>
      <c r="X95" s="115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16"/>
      <c r="AL95" s="1"/>
      <c r="AM95" s="1"/>
      <c r="AN95" s="1"/>
      <c r="AO95" s="1"/>
      <c r="AP95" s="1"/>
      <c r="AQ95" s="1"/>
      <c r="AR95" s="1"/>
      <c r="AS95" s="1"/>
      <c r="AT95" s="1"/>
    </row>
    <row r="96" ht="15.0" customHeight="1">
      <c r="A96" s="1"/>
      <c r="B96" s="163"/>
      <c r="C96" s="170"/>
      <c r="D96" s="3"/>
      <c r="E96" s="1"/>
      <c r="F96" s="163"/>
      <c r="G96" s="169"/>
      <c r="H96" s="163"/>
      <c r="I96" s="163"/>
      <c r="J96" s="163"/>
      <c r="K96" s="163"/>
      <c r="L96" s="163"/>
      <c r="M96" s="163"/>
      <c r="N96" s="163"/>
      <c r="O96" s="1"/>
      <c r="P96" s="1"/>
      <c r="Q96" s="1"/>
      <c r="R96" s="1"/>
      <c r="S96" s="1"/>
      <c r="T96" s="1"/>
      <c r="U96" s="1"/>
      <c r="V96" s="1"/>
      <c r="W96" s="1"/>
      <c r="X96" s="115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16"/>
      <c r="AL96" s="1"/>
      <c r="AM96" s="1"/>
      <c r="AN96" s="1"/>
      <c r="AO96" s="1"/>
      <c r="AP96" s="1"/>
      <c r="AQ96" s="1"/>
      <c r="AR96" s="1"/>
      <c r="AS96" s="1"/>
      <c r="AT96" s="1"/>
    </row>
    <row r="97" ht="15.0" customHeight="1">
      <c r="A97" s="1"/>
      <c r="B97" s="163"/>
      <c r="C97" s="163"/>
      <c r="D97" s="3"/>
      <c r="E97" s="1"/>
      <c r="F97" s="163"/>
      <c r="G97" s="169"/>
      <c r="H97" s="163"/>
      <c r="I97" s="163"/>
      <c r="J97" s="163"/>
      <c r="K97" s="163"/>
      <c r="L97" s="163"/>
      <c r="M97" s="163"/>
      <c r="N97" s="163"/>
      <c r="O97" s="1"/>
      <c r="P97" s="1"/>
      <c r="Q97" s="1"/>
      <c r="R97" s="1"/>
      <c r="S97" s="1"/>
      <c r="T97" s="1"/>
      <c r="U97" s="1"/>
      <c r="V97" s="1"/>
      <c r="W97" s="1"/>
      <c r="X97" s="115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16"/>
      <c r="AL97" s="1"/>
      <c r="AM97" s="1"/>
      <c r="AN97" s="1"/>
      <c r="AO97" s="1"/>
      <c r="AP97" s="1"/>
      <c r="AQ97" s="1"/>
      <c r="AR97" s="1"/>
      <c r="AS97" s="1"/>
      <c r="AT97" s="1"/>
    </row>
    <row r="98" ht="15.0" customHeight="1">
      <c r="A98" s="1"/>
      <c r="B98" s="163"/>
      <c r="C98" s="163"/>
      <c r="D98" s="3"/>
      <c r="E98" s="1"/>
      <c r="F98" s="163"/>
      <c r="G98" s="169"/>
      <c r="H98" s="163"/>
      <c r="I98" s="163"/>
      <c r="J98" s="163"/>
      <c r="K98" s="163"/>
      <c r="L98" s="163"/>
      <c r="M98" s="163"/>
      <c r="N98" s="163"/>
      <c r="O98" s="1"/>
      <c r="P98" s="1"/>
      <c r="Q98" s="1"/>
      <c r="R98" s="1"/>
      <c r="S98" s="1"/>
      <c r="T98" s="1"/>
      <c r="U98" s="1"/>
      <c r="V98" s="1"/>
      <c r="W98" s="1"/>
      <c r="X98" s="115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16"/>
      <c r="AL98" s="1"/>
      <c r="AM98" s="1"/>
      <c r="AN98" s="1"/>
      <c r="AO98" s="1"/>
      <c r="AP98" s="1"/>
      <c r="AQ98" s="1"/>
      <c r="AR98" s="1"/>
      <c r="AS98" s="1"/>
      <c r="AT98" s="1"/>
    </row>
    <row r="99" ht="15.0" customHeight="1">
      <c r="A99" s="1"/>
      <c r="B99" s="171"/>
      <c r="C99" s="163"/>
      <c r="D99" s="3"/>
      <c r="E99" s="1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16"/>
      <c r="AL99" s="1"/>
      <c r="AM99" s="1"/>
      <c r="AN99" s="1"/>
      <c r="AO99" s="1"/>
      <c r="AP99" s="1"/>
      <c r="AQ99" s="1"/>
      <c r="AR99" s="1"/>
      <c r="AS99" s="1"/>
      <c r="AT99" s="1"/>
    </row>
    <row r="100" ht="15.0" customHeight="1">
      <c r="A100" s="1"/>
      <c r="B100" s="171"/>
      <c r="C100" s="1"/>
      <c r="D100" s="11"/>
      <c r="E100" s="3"/>
      <c r="F100" s="1"/>
      <c r="G100" s="17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16"/>
      <c r="AL100" s="1"/>
      <c r="AM100" s="1"/>
      <c r="AN100" s="1"/>
      <c r="AO100" s="1"/>
      <c r="AP100" s="1"/>
      <c r="AQ100" s="1"/>
      <c r="AR100" s="1"/>
      <c r="AS100" s="1"/>
      <c r="AT100" s="1"/>
    </row>
    <row r="101" ht="15.0" customHeight="1">
      <c r="A101" s="1"/>
      <c r="B101" s="171"/>
      <c r="C101" s="3"/>
      <c r="D101" s="3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16"/>
      <c r="AL101" s="1"/>
      <c r="AM101" s="1"/>
      <c r="AN101" s="1"/>
      <c r="AO101" s="1"/>
      <c r="AP101" s="1"/>
      <c r="AQ101" s="1"/>
      <c r="AR101" s="1"/>
      <c r="AS101" s="1"/>
      <c r="AT101" s="1"/>
    </row>
    <row r="102" ht="15.0" customHeight="1">
      <c r="A102" s="1"/>
      <c r="B102" s="2"/>
      <c r="C102" s="3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ht="48.0" customHeight="1">
      <c r="A103" s="1"/>
      <c r="B103" s="173"/>
      <c r="C103" s="3"/>
      <c r="D103" s="3"/>
      <c r="E103" s="174"/>
      <c r="F103" s="175"/>
      <c r="G103" s="176"/>
      <c r="H103" s="176"/>
      <c r="I103" s="177"/>
      <c r="J103" s="174"/>
      <c r="K103" s="178"/>
      <c r="L103" s="178"/>
      <c r="M103" s="175"/>
      <c r="N103" s="177"/>
      <c r="O103" s="179"/>
      <c r="P103" s="179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ht="21.75" customHeight="1">
      <c r="A104" s="1"/>
      <c r="B104" s="82"/>
      <c r="C104" s="180"/>
      <c r="D104" s="79"/>
      <c r="E104" s="181"/>
      <c r="F104" s="181"/>
      <c r="G104" s="1"/>
      <c r="H104" s="1"/>
      <c r="I104" s="1"/>
      <c r="J104" s="181"/>
      <c r="K104" s="181"/>
      <c r="L104" s="176"/>
      <c r="M104" s="176"/>
      <c r="N104" s="1"/>
      <c r="O104" s="179"/>
      <c r="P104" s="179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ht="15.0" customHeight="1">
      <c r="A105" s="1"/>
      <c r="B105" s="11"/>
      <c r="C105" s="182"/>
      <c r="D105" s="183"/>
      <c r="E105" s="11"/>
      <c r="F105" s="11"/>
      <c r="G105" s="181"/>
      <c r="H105" s="181"/>
      <c r="I105" s="181"/>
      <c r="J105" s="181"/>
      <c r="K105" s="181"/>
      <c r="L105" s="181"/>
      <c r="M105" s="181"/>
      <c r="N105" s="184"/>
      <c r="O105" s="3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ht="15.0" customHeight="1">
      <c r="A106" s="1"/>
      <c r="B106" s="11"/>
      <c r="C106" s="185"/>
      <c r="D106" s="17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ht="15.0" customHeight="1">
      <c r="A107" s="1"/>
      <c r="B107" s="11"/>
      <c r="C107" s="186"/>
      <c r="D107" s="17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ht="15.0" customHeight="1">
      <c r="A108" s="1"/>
      <c r="B108" s="11"/>
      <c r="C108" s="186"/>
      <c r="D108" s="17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ht="15.0" customHeight="1">
      <c r="A109" s="1"/>
      <c r="B109" s="11"/>
      <c r="C109" s="186"/>
      <c r="D109" s="17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ht="15.0" customHeight="1">
      <c r="A110" s="1"/>
      <c r="B110" s="11"/>
      <c r="C110" s="186"/>
      <c r="D110" s="175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ht="15.0" customHeight="1">
      <c r="A111" s="1"/>
      <c r="B111" s="11"/>
      <c r="C111" s="186"/>
      <c r="D111" s="175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ht="15.0" customHeight="1">
      <c r="A112" s="1"/>
      <c r="B112" s="11"/>
      <c r="C112" s="186"/>
      <c r="D112" s="175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3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ht="15.0" customHeight="1">
      <c r="A113" s="1"/>
      <c r="B113" s="11"/>
      <c r="C113" s="187"/>
      <c r="D113" s="175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ht="15.0" customHeight="1">
      <c r="A114" s="1"/>
      <c r="B114" s="11"/>
      <c r="C114" s="188"/>
      <c r="D114" s="175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3"/>
      <c r="P114" s="3"/>
      <c r="Q114" s="1"/>
      <c r="R114" s="1"/>
      <c r="S114" s="1"/>
      <c r="T114" s="1"/>
      <c r="U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ht="15.0" customHeight="1">
      <c r="A115" s="1"/>
      <c r="B115" s="11"/>
      <c r="C115" s="187"/>
      <c r="D115" s="175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3"/>
      <c r="P115" s="3"/>
      <c r="Q115" s="1"/>
      <c r="R115" s="1"/>
      <c r="S115" s="1"/>
      <c r="T115" s="1"/>
      <c r="U115" s="1"/>
      <c r="AR115" s="1"/>
      <c r="AS115" s="1"/>
      <c r="AT115" s="1"/>
    </row>
    <row r="116" ht="15.0" customHeight="1">
      <c r="A116" s="1"/>
      <c r="B116" s="171"/>
      <c r="C116" s="186"/>
      <c r="D116" s="175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3"/>
      <c r="P116" s="11"/>
      <c r="Q116" s="1"/>
      <c r="R116" s="1"/>
      <c r="S116" s="1"/>
      <c r="T116" s="1"/>
      <c r="U116" s="1"/>
      <c r="AR116" s="1"/>
      <c r="AS116" s="1"/>
      <c r="AT116" s="1"/>
    </row>
    <row r="117" ht="15.0" customHeight="1">
      <c r="A117" s="1"/>
      <c r="B117" s="2"/>
      <c r="C117" s="187"/>
      <c r="D117" s="17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R117" s="1"/>
      <c r="AS117" s="1"/>
      <c r="AT117" s="1"/>
    </row>
    <row r="118" ht="15.0" customHeight="1">
      <c r="A118" s="1"/>
      <c r="B118" s="46"/>
      <c r="C118" s="3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R118" s="1"/>
      <c r="AS118" s="1"/>
      <c r="AT118" s="1"/>
    </row>
    <row r="119" ht="15.0" customHeight="1">
      <c r="A119" s="1"/>
      <c r="B119" s="46"/>
      <c r="C119" s="3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R119" s="1"/>
      <c r="AS119" s="1"/>
      <c r="AT119" s="1"/>
    </row>
    <row r="120" ht="15.0" customHeight="1">
      <c r="A120" s="1"/>
      <c r="B120" s="2"/>
      <c r="C120" s="3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R120" s="1"/>
      <c r="AS120" s="1"/>
      <c r="AT120" s="1"/>
    </row>
    <row r="121" ht="16.5" customHeight="1">
      <c r="A121" s="1"/>
      <c r="B121" s="173"/>
      <c r="C121" s="3"/>
      <c r="D121" s="3"/>
      <c r="E121" s="174"/>
      <c r="F121" s="175"/>
      <c r="G121" s="189"/>
      <c r="H121" s="189"/>
      <c r="I121" s="177"/>
      <c r="J121" s="174"/>
      <c r="K121" s="178"/>
      <c r="L121" s="178"/>
      <c r="M121" s="175"/>
      <c r="N121" s="177"/>
      <c r="O121" s="179"/>
      <c r="P121" s="179"/>
      <c r="Q121" s="1"/>
      <c r="R121" s="1"/>
      <c r="S121" s="1"/>
      <c r="T121" s="1"/>
      <c r="U121" s="1"/>
      <c r="AR121" s="1"/>
      <c r="AS121" s="1"/>
      <c r="AT121" s="1"/>
    </row>
    <row r="122" ht="16.5" customHeight="1">
      <c r="A122" s="1"/>
      <c r="B122" s="82"/>
      <c r="C122" s="180"/>
      <c r="D122" s="79"/>
      <c r="E122" s="181"/>
      <c r="F122" s="181"/>
      <c r="G122" s="177"/>
      <c r="H122" s="177"/>
      <c r="I122" s="181"/>
      <c r="J122" s="181"/>
      <c r="K122" s="181"/>
      <c r="L122" s="176"/>
      <c r="M122" s="176"/>
      <c r="N122" s="1"/>
      <c r="O122" s="179"/>
      <c r="P122" s="179"/>
      <c r="Q122" s="1"/>
      <c r="R122" s="1"/>
      <c r="S122" s="1"/>
      <c r="T122" s="1"/>
      <c r="U122" s="1"/>
      <c r="AR122" s="1"/>
      <c r="AS122" s="1"/>
      <c r="AT122" s="1"/>
    </row>
    <row r="123" ht="16.5" customHeight="1">
      <c r="A123" s="1"/>
      <c r="B123" s="11"/>
      <c r="C123" s="182"/>
      <c r="D123" s="183"/>
      <c r="E123" s="11"/>
      <c r="F123" s="11"/>
      <c r="G123" s="181"/>
      <c r="H123" s="181"/>
      <c r="I123" s="181"/>
      <c r="J123" s="181"/>
      <c r="K123" s="181"/>
      <c r="L123" s="181"/>
      <c r="M123" s="181"/>
      <c r="N123" s="177"/>
      <c r="O123" s="179"/>
      <c r="P123" s="3"/>
      <c r="Q123" s="1"/>
      <c r="R123" s="1"/>
      <c r="S123" s="1"/>
      <c r="T123" s="1"/>
      <c r="U123" s="1"/>
      <c r="AR123" s="1"/>
      <c r="AS123" s="1"/>
      <c r="AT123" s="1"/>
    </row>
    <row r="124" ht="18.0" customHeight="1">
      <c r="A124" s="1"/>
      <c r="B124" s="11"/>
      <c r="C124" s="185"/>
      <c r="D124" s="17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163"/>
      <c r="P124" s="3"/>
      <c r="Q124" s="1"/>
      <c r="R124" s="1"/>
      <c r="S124" s="1"/>
      <c r="T124" s="1"/>
      <c r="U124" s="1"/>
      <c r="AR124" s="1"/>
      <c r="AS124" s="1"/>
      <c r="AT124" s="1"/>
    </row>
    <row r="125" ht="18.0" customHeight="1">
      <c r="A125" s="1"/>
      <c r="B125" s="11"/>
      <c r="C125" s="186"/>
      <c r="D125" s="17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163"/>
      <c r="P125" s="3"/>
      <c r="Q125" s="1"/>
      <c r="R125" s="1"/>
      <c r="S125" s="1"/>
      <c r="T125" s="1"/>
      <c r="U125" s="1"/>
      <c r="AR125" s="1"/>
      <c r="AS125" s="1"/>
      <c r="AT125" s="1"/>
    </row>
    <row r="126" ht="18.0" customHeight="1">
      <c r="A126" s="1"/>
      <c r="B126" s="11"/>
      <c r="C126" s="186"/>
      <c r="D126" s="17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163"/>
      <c r="P126" s="3"/>
      <c r="Q126" s="1"/>
      <c r="R126" s="1"/>
      <c r="S126" s="1"/>
      <c r="T126" s="1"/>
      <c r="U126" s="1"/>
      <c r="AR126" s="1"/>
      <c r="AS126" s="1"/>
      <c r="AT126" s="1"/>
    </row>
    <row r="127" ht="18.0" customHeight="1">
      <c r="A127" s="1"/>
      <c r="B127" s="11"/>
      <c r="C127" s="186"/>
      <c r="D127" s="17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163"/>
      <c r="P127" s="3"/>
      <c r="Q127" s="1"/>
      <c r="R127" s="1"/>
      <c r="S127" s="1"/>
      <c r="T127" s="1"/>
      <c r="U127" s="1"/>
    </row>
    <row r="128" ht="18.0" customHeight="1">
      <c r="A128" s="1"/>
      <c r="B128" s="11"/>
      <c r="C128" s="188"/>
      <c r="D128" s="175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163"/>
      <c r="P128" s="3"/>
      <c r="Q128" s="1"/>
      <c r="R128" s="1"/>
      <c r="S128" s="1"/>
      <c r="T128" s="1"/>
      <c r="U128" s="1"/>
    </row>
    <row r="129" ht="18.0" customHeight="1">
      <c r="A129" s="1"/>
      <c r="B129" s="171"/>
      <c r="C129" s="186"/>
      <c r="D129" s="175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63"/>
      <c r="P129" s="11"/>
      <c r="Q129" s="1"/>
      <c r="R129" s="1"/>
      <c r="S129" s="1"/>
      <c r="T129" s="1"/>
      <c r="U129" s="1"/>
    </row>
    <row r="130" ht="18.0" customHeight="1">
      <c r="A130" s="1"/>
      <c r="B130" s="11"/>
      <c r="C130" s="187"/>
      <c r="D130" s="175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63"/>
      <c r="P130" s="3"/>
      <c r="Q130" s="1"/>
      <c r="R130" s="1"/>
      <c r="S130" s="1"/>
      <c r="T130" s="1"/>
      <c r="U130" s="1"/>
    </row>
    <row r="131" ht="18.0" customHeight="1">
      <c r="A131" s="1"/>
      <c r="B131" s="11"/>
      <c r="C131" s="187"/>
      <c r="D131" s="175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63"/>
      <c r="P131" s="3"/>
      <c r="Q131" s="1"/>
      <c r="R131" s="1"/>
      <c r="S131" s="1"/>
      <c r="T131" s="1"/>
      <c r="U131" s="1"/>
    </row>
    <row r="132" ht="18.0" customHeight="1">
      <c r="A132" s="1"/>
      <c r="B132" s="11"/>
      <c r="C132" s="186"/>
      <c r="D132" s="175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63"/>
      <c r="P132" s="3"/>
      <c r="Q132" s="1"/>
      <c r="R132" s="1"/>
      <c r="S132" s="1"/>
      <c r="T132" s="1"/>
      <c r="U132" s="1"/>
    </row>
    <row r="133" ht="18.0" customHeight="1">
      <c r="A133" s="1"/>
      <c r="B133" s="171"/>
      <c r="C133" s="186"/>
      <c r="D133" s="175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63"/>
      <c r="P133" s="11"/>
      <c r="Q133" s="1"/>
      <c r="R133" s="1"/>
      <c r="S133" s="1"/>
      <c r="T133" s="1"/>
      <c r="U133" s="1"/>
    </row>
    <row r="134" ht="18.0" customHeight="1">
      <c r="A134" s="1"/>
      <c r="B134" s="11"/>
      <c r="C134" s="188"/>
      <c r="D134" s="175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63"/>
      <c r="P134" s="3"/>
      <c r="Q134" s="1"/>
      <c r="R134" s="1"/>
      <c r="S134" s="1"/>
      <c r="T134" s="1"/>
      <c r="U134" s="1"/>
    </row>
    <row r="135" ht="18.0" customHeight="1">
      <c r="A135" s="1"/>
      <c r="B135" s="11"/>
      <c r="C135" s="187"/>
      <c r="D135" s="175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63"/>
      <c r="P135" s="3"/>
      <c r="Q135" s="1"/>
      <c r="R135" s="1"/>
      <c r="S135" s="1"/>
      <c r="T135" s="1"/>
      <c r="U135" s="1"/>
    </row>
    <row r="136" ht="15.0" customHeight="1">
      <c r="A136" s="1"/>
      <c r="B136" s="2"/>
      <c r="C136" s="190"/>
      <c r="D136" s="190"/>
      <c r="E136" s="19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0" customHeight="1">
      <c r="A137" s="1"/>
      <c r="B137" s="2"/>
      <c r="C137" s="2"/>
      <c r="D137" s="19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0" customHeight="1">
      <c r="A138" s="1"/>
      <c r="B138" s="2"/>
      <c r="C138" s="3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0" customHeight="1">
      <c r="B139" s="140"/>
      <c r="C139" s="3"/>
      <c r="D139" s="3"/>
    </row>
    <row r="140" ht="15.0" customHeight="1">
      <c r="B140" s="140"/>
      <c r="C140" s="61"/>
      <c r="D140" s="61"/>
    </row>
    <row r="141" ht="15.0" customHeight="1">
      <c r="B141" s="140"/>
      <c r="C141" s="61"/>
      <c r="D141" s="61"/>
      <c r="E141" s="1"/>
    </row>
    <row r="142" ht="15.0" customHeight="1">
      <c r="B142" s="140"/>
      <c r="C142" s="11"/>
      <c r="D142" s="1"/>
      <c r="E142" s="95"/>
    </row>
    <row r="143" ht="15.0" customHeight="1">
      <c r="B143" s="140"/>
      <c r="C143" s="95"/>
      <c r="D143" s="95"/>
      <c r="E143" s="192"/>
    </row>
    <row r="144" ht="15.0" customHeight="1">
      <c r="B144" s="140"/>
      <c r="C144" s="140"/>
      <c r="D144" s="192"/>
      <c r="E144" s="106"/>
    </row>
    <row r="145" ht="15.0" customHeight="1">
      <c r="B145" s="140"/>
      <c r="D145" s="106"/>
      <c r="E145" s="106"/>
    </row>
    <row r="146" ht="15.0" customHeight="1">
      <c r="B146" s="140"/>
      <c r="D146" s="106"/>
      <c r="E146" s="106"/>
    </row>
    <row r="147" ht="15.0" customHeight="1">
      <c r="B147" s="140"/>
      <c r="D147" s="106"/>
      <c r="E147" s="95"/>
    </row>
    <row r="148" ht="15.0" customHeight="1">
      <c r="B148" s="140"/>
      <c r="D148" s="95"/>
    </row>
    <row r="149" ht="15.0" customHeight="1">
      <c r="B149" s="140"/>
      <c r="C149" s="61"/>
      <c r="D149" s="61"/>
    </row>
    <row r="150" ht="15.0" customHeight="1">
      <c r="B150" s="140"/>
      <c r="C150" s="61"/>
      <c r="D150" s="61"/>
    </row>
    <row r="151" ht="15.0" customHeight="1">
      <c r="B151" s="140"/>
      <c r="C151" s="61"/>
      <c r="D151" s="61"/>
    </row>
    <row r="152" ht="15.0" customHeight="1">
      <c r="B152" s="140"/>
      <c r="C152" s="61"/>
      <c r="D152" s="61"/>
    </row>
    <row r="153" ht="15.0" customHeight="1">
      <c r="B153" s="140"/>
      <c r="C153" s="61"/>
      <c r="D153" s="61"/>
    </row>
    <row r="154" ht="15.0" customHeight="1">
      <c r="B154" s="140"/>
      <c r="C154" s="61"/>
      <c r="D154" s="61"/>
    </row>
    <row r="155" ht="15.0" customHeight="1">
      <c r="B155" s="140"/>
      <c r="C155" s="61"/>
      <c r="D155" s="61"/>
    </row>
    <row r="156" ht="15.0" customHeight="1">
      <c r="B156" s="140"/>
      <c r="C156" s="61"/>
      <c r="D156" s="61"/>
    </row>
    <row r="157" ht="15.0" customHeight="1">
      <c r="B157" s="140"/>
      <c r="C157" s="61"/>
      <c r="D157" s="61"/>
    </row>
    <row r="158" ht="15.0" customHeight="1">
      <c r="B158" s="140"/>
      <c r="C158" s="61"/>
      <c r="D158" s="61"/>
    </row>
    <row r="159" ht="15.0" customHeight="1">
      <c r="B159" s="140"/>
      <c r="C159" s="61"/>
      <c r="D159" s="61"/>
    </row>
    <row r="160" ht="15.0" customHeight="1">
      <c r="B160" s="140"/>
      <c r="C160" s="61"/>
      <c r="D160" s="61"/>
    </row>
    <row r="161" ht="15.0" customHeight="1">
      <c r="B161" s="140"/>
      <c r="C161" s="61"/>
      <c r="D161" s="61"/>
    </row>
    <row r="162" ht="15.0" customHeight="1">
      <c r="B162" s="140"/>
      <c r="C162" s="61"/>
      <c r="D162" s="61"/>
    </row>
    <row r="163" ht="15.0" customHeight="1">
      <c r="B163" s="140"/>
      <c r="C163" s="61"/>
      <c r="D163" s="61"/>
    </row>
    <row r="164" ht="15.0" customHeight="1">
      <c r="B164" s="140"/>
      <c r="C164" s="61"/>
      <c r="D164" s="61"/>
    </row>
    <row r="165" ht="15.0" customHeight="1">
      <c r="B165" s="140"/>
      <c r="C165" s="61"/>
      <c r="D165" s="61"/>
    </row>
    <row r="166" ht="15.0" customHeight="1">
      <c r="B166" s="140"/>
      <c r="C166" s="61"/>
      <c r="D166" s="61"/>
    </row>
    <row r="167" ht="15.0" customHeight="1">
      <c r="B167" s="140"/>
      <c r="C167" s="61"/>
      <c r="D167" s="61"/>
    </row>
    <row r="168" ht="15.0" customHeight="1">
      <c r="B168" s="140"/>
      <c r="C168" s="61"/>
      <c r="D168" s="61"/>
    </row>
    <row r="169" ht="15.0" customHeight="1">
      <c r="B169" s="140"/>
      <c r="C169" s="61"/>
      <c r="D169" s="61"/>
    </row>
    <row r="170" ht="15.0" customHeight="1">
      <c r="B170" s="140"/>
      <c r="C170" s="61"/>
      <c r="D170" s="61"/>
    </row>
    <row r="171" ht="15.0" customHeight="1">
      <c r="B171" s="140"/>
      <c r="C171" s="61"/>
      <c r="D171" s="61"/>
    </row>
    <row r="172" ht="15.0" customHeight="1">
      <c r="B172" s="140"/>
      <c r="C172" s="61"/>
      <c r="D172" s="61"/>
    </row>
    <row r="173" ht="15.0" customHeight="1">
      <c r="B173" s="140"/>
      <c r="C173" s="61"/>
      <c r="D173" s="61"/>
    </row>
    <row r="174" ht="15.0" customHeight="1">
      <c r="B174" s="140"/>
      <c r="C174" s="61"/>
      <c r="D174" s="61"/>
    </row>
    <row r="175" ht="15.0" customHeight="1">
      <c r="B175" s="140"/>
      <c r="C175" s="61"/>
      <c r="D175" s="61"/>
    </row>
    <row r="176" ht="15.0" customHeight="1">
      <c r="B176" s="140"/>
      <c r="C176" s="61"/>
      <c r="D176" s="61"/>
    </row>
    <row r="177" ht="15.0" customHeight="1">
      <c r="B177" s="140"/>
      <c r="C177" s="61"/>
      <c r="D177" s="61"/>
    </row>
    <row r="178" ht="15.0" customHeight="1">
      <c r="B178" s="140"/>
      <c r="C178" s="61"/>
      <c r="D178" s="61"/>
    </row>
    <row r="179" ht="15.0" customHeight="1">
      <c r="B179" s="140"/>
      <c r="C179" s="61"/>
      <c r="D179" s="61"/>
    </row>
    <row r="180" ht="15.0" customHeight="1">
      <c r="B180" s="140"/>
      <c r="C180" s="61"/>
      <c r="D180" s="61"/>
    </row>
    <row r="181" ht="15.0" customHeight="1">
      <c r="B181" s="140"/>
      <c r="C181" s="61"/>
      <c r="D181" s="61"/>
    </row>
    <row r="182" ht="15.0" customHeight="1">
      <c r="B182" s="140"/>
      <c r="C182" s="61"/>
      <c r="D182" s="61"/>
    </row>
    <row r="183" ht="15.0" customHeight="1">
      <c r="B183" s="140"/>
      <c r="C183" s="61"/>
      <c r="D183" s="61"/>
    </row>
    <row r="184" ht="15.0" customHeight="1">
      <c r="B184" s="140"/>
      <c r="C184" s="61"/>
      <c r="D184" s="61"/>
    </row>
    <row r="185" ht="15.0" customHeight="1">
      <c r="B185" s="140"/>
      <c r="C185" s="61"/>
      <c r="D185" s="61"/>
    </row>
    <row r="186" ht="15.0" customHeight="1">
      <c r="B186" s="140"/>
      <c r="C186" s="61"/>
      <c r="D186" s="61"/>
    </row>
    <row r="187" ht="15.0" customHeight="1">
      <c r="B187" s="140"/>
      <c r="C187" s="61"/>
      <c r="D187" s="61"/>
    </row>
    <row r="188" ht="15.0" customHeight="1">
      <c r="B188" s="140"/>
      <c r="C188" s="61"/>
      <c r="D188" s="61"/>
    </row>
    <row r="189" ht="15.0" customHeight="1">
      <c r="B189" s="140"/>
      <c r="C189" s="61"/>
      <c r="D189" s="61"/>
    </row>
    <row r="190" ht="15.0" customHeight="1">
      <c r="B190" s="140"/>
      <c r="C190" s="61"/>
      <c r="D190" s="61"/>
    </row>
    <row r="191" ht="15.0" customHeight="1">
      <c r="B191" s="140"/>
      <c r="C191" s="61"/>
      <c r="D191" s="61"/>
    </row>
    <row r="192" ht="15.0" customHeight="1">
      <c r="B192" s="140"/>
      <c r="C192" s="61"/>
      <c r="D192" s="61"/>
    </row>
    <row r="193" ht="15.0" customHeight="1">
      <c r="B193" s="140"/>
      <c r="C193" s="61"/>
      <c r="D193" s="61"/>
    </row>
    <row r="194" ht="15.0" customHeight="1">
      <c r="B194" s="140"/>
      <c r="C194" s="61"/>
      <c r="D194" s="61"/>
    </row>
    <row r="195" ht="15.0" customHeight="1">
      <c r="B195" s="140"/>
      <c r="C195" s="61"/>
      <c r="D195" s="61"/>
    </row>
    <row r="196" ht="15.0" customHeight="1">
      <c r="B196" s="140"/>
      <c r="C196" s="61"/>
      <c r="D196" s="61"/>
    </row>
    <row r="197" ht="15.0" customHeight="1">
      <c r="B197" s="140"/>
      <c r="C197" s="61"/>
      <c r="D197" s="61"/>
    </row>
    <row r="198" ht="15.0" customHeight="1">
      <c r="B198" s="140"/>
      <c r="C198" s="61"/>
      <c r="D198" s="61"/>
    </row>
    <row r="199" ht="15.0" customHeight="1">
      <c r="B199" s="140"/>
      <c r="C199" s="61"/>
      <c r="D199" s="61"/>
    </row>
    <row r="200" ht="15.0" customHeight="1">
      <c r="B200" s="140"/>
      <c r="C200" s="61"/>
      <c r="D200" s="61"/>
    </row>
    <row r="201" ht="15.0" customHeight="1">
      <c r="B201" s="140"/>
      <c r="C201" s="61"/>
      <c r="D201" s="61"/>
    </row>
    <row r="202" ht="15.0" customHeight="1">
      <c r="B202" s="140"/>
      <c r="C202" s="61"/>
      <c r="D202" s="61"/>
    </row>
    <row r="203" ht="15.0" customHeight="1">
      <c r="B203" s="140"/>
      <c r="C203" s="61"/>
      <c r="D203" s="61"/>
    </row>
    <row r="204" ht="15.0" customHeight="1">
      <c r="B204" s="140"/>
      <c r="C204" s="61"/>
      <c r="D204" s="61"/>
    </row>
    <row r="205" ht="15.0" customHeight="1">
      <c r="B205" s="140"/>
      <c r="C205" s="61"/>
      <c r="D205" s="61"/>
    </row>
    <row r="206" ht="15.0" customHeight="1">
      <c r="B206" s="140"/>
      <c r="C206" s="61"/>
      <c r="D206" s="61"/>
    </row>
    <row r="207" ht="15.0" customHeight="1">
      <c r="B207" s="140"/>
      <c r="C207" s="61"/>
      <c r="D207" s="61"/>
    </row>
    <row r="208" ht="15.0" customHeight="1">
      <c r="B208" s="140"/>
      <c r="C208" s="61"/>
      <c r="D208" s="61"/>
    </row>
    <row r="209" ht="15.0" customHeight="1">
      <c r="B209" s="140"/>
      <c r="C209" s="61"/>
      <c r="D209" s="61"/>
    </row>
    <row r="210" ht="15.0" customHeight="1">
      <c r="B210" s="140"/>
      <c r="C210" s="61"/>
      <c r="D210" s="61"/>
    </row>
    <row r="211" ht="15.0" customHeight="1">
      <c r="B211" s="140"/>
      <c r="C211" s="61"/>
      <c r="D211" s="61"/>
    </row>
    <row r="212" ht="15.0" customHeight="1">
      <c r="B212" s="140"/>
      <c r="C212" s="61"/>
      <c r="D212" s="61"/>
    </row>
    <row r="213" ht="15.0" customHeight="1">
      <c r="B213" s="140"/>
      <c r="C213" s="61"/>
      <c r="D213" s="61"/>
    </row>
    <row r="214" ht="15.0" customHeight="1">
      <c r="B214" s="140"/>
      <c r="C214" s="61"/>
      <c r="D214" s="61"/>
    </row>
    <row r="215" ht="15.0" customHeight="1">
      <c r="B215" s="140"/>
      <c r="C215" s="61"/>
      <c r="D215" s="61"/>
    </row>
    <row r="216" ht="15.0" customHeight="1">
      <c r="B216" s="140"/>
      <c r="C216" s="61"/>
      <c r="D216" s="61"/>
    </row>
    <row r="217" ht="15.0" customHeight="1">
      <c r="B217" s="140"/>
      <c r="C217" s="61"/>
      <c r="D217" s="61"/>
    </row>
    <row r="218" ht="15.0" customHeight="1">
      <c r="B218" s="140"/>
      <c r="C218" s="61"/>
      <c r="D218" s="61"/>
    </row>
    <row r="219" ht="15.0" customHeight="1">
      <c r="B219" s="140"/>
      <c r="C219" s="61"/>
      <c r="D219" s="61"/>
    </row>
    <row r="220" ht="15.0" customHeight="1">
      <c r="B220" s="140"/>
      <c r="C220" s="61"/>
      <c r="D220" s="61"/>
    </row>
    <row r="221" ht="15.0" customHeight="1">
      <c r="B221" s="140"/>
      <c r="C221" s="61"/>
      <c r="D221" s="61"/>
    </row>
    <row r="222" ht="15.0" customHeight="1">
      <c r="B222" s="140"/>
      <c r="C222" s="61"/>
      <c r="D222" s="61"/>
    </row>
    <row r="223" ht="15.0" customHeight="1">
      <c r="B223" s="140"/>
      <c r="C223" s="61"/>
      <c r="D223" s="61"/>
    </row>
    <row r="224" ht="15.0" customHeight="1">
      <c r="B224" s="140"/>
      <c r="C224" s="61"/>
      <c r="D224" s="61"/>
    </row>
    <row r="225" ht="15.0" customHeight="1">
      <c r="B225" s="140"/>
      <c r="C225" s="61"/>
      <c r="D225" s="61"/>
    </row>
    <row r="226" ht="15.0" customHeight="1">
      <c r="B226" s="140"/>
      <c r="C226" s="61"/>
      <c r="D226" s="61"/>
    </row>
    <row r="227" ht="15.0" customHeight="1">
      <c r="B227" s="140"/>
      <c r="C227" s="61"/>
      <c r="D227" s="61"/>
    </row>
    <row r="228" ht="15.0" customHeight="1">
      <c r="B228" s="140"/>
      <c r="C228" s="61"/>
      <c r="D228" s="61"/>
    </row>
    <row r="229" ht="15.0" customHeight="1">
      <c r="B229" s="140"/>
      <c r="C229" s="61"/>
      <c r="D229" s="61"/>
    </row>
    <row r="230" ht="15.0" customHeight="1">
      <c r="B230" s="140"/>
      <c r="C230" s="61"/>
      <c r="D230" s="61"/>
    </row>
    <row r="231" ht="15.0" customHeight="1">
      <c r="B231" s="140"/>
      <c r="C231" s="61"/>
      <c r="D231" s="61"/>
    </row>
    <row r="232" ht="15.0" customHeight="1">
      <c r="B232" s="140"/>
      <c r="C232" s="61"/>
      <c r="D232" s="61"/>
    </row>
    <row r="233" ht="15.0" customHeight="1">
      <c r="B233" s="140"/>
      <c r="C233" s="61"/>
      <c r="D233" s="61"/>
    </row>
    <row r="234" ht="15.0" customHeight="1">
      <c r="B234" s="140"/>
      <c r="C234" s="61"/>
      <c r="D234" s="61"/>
    </row>
    <row r="235" ht="15.0" customHeight="1">
      <c r="B235" s="140"/>
      <c r="C235" s="61"/>
      <c r="D235" s="61"/>
    </row>
    <row r="236" ht="15.0" customHeight="1">
      <c r="B236" s="140"/>
      <c r="C236" s="61"/>
      <c r="D236" s="61"/>
    </row>
    <row r="237" ht="15.0" customHeight="1">
      <c r="B237" s="140"/>
      <c r="C237" s="61"/>
      <c r="D237" s="61"/>
    </row>
    <row r="238" ht="15.0" customHeight="1">
      <c r="B238" s="140"/>
      <c r="C238" s="61"/>
      <c r="D238" s="61"/>
    </row>
    <row r="239" ht="15.0" customHeight="1">
      <c r="B239" s="140"/>
      <c r="C239" s="61"/>
      <c r="D239" s="61"/>
    </row>
    <row r="240" ht="15.0" customHeight="1">
      <c r="B240" s="140"/>
      <c r="C240" s="61"/>
      <c r="D240" s="61"/>
    </row>
    <row r="241" ht="15.0" customHeight="1">
      <c r="B241" s="140"/>
      <c r="C241" s="61"/>
      <c r="D241" s="61"/>
    </row>
    <row r="242" ht="15.0" customHeight="1">
      <c r="B242" s="140"/>
      <c r="C242" s="61"/>
      <c r="D242" s="61"/>
    </row>
    <row r="243" ht="15.0" customHeight="1">
      <c r="B243" s="140"/>
      <c r="C243" s="61"/>
      <c r="D243" s="61"/>
    </row>
    <row r="244" ht="15.0" customHeight="1">
      <c r="B244" s="140"/>
      <c r="C244" s="61"/>
      <c r="D244" s="61"/>
    </row>
    <row r="245" ht="15.0" customHeight="1">
      <c r="B245" s="140"/>
      <c r="C245" s="61"/>
      <c r="D245" s="61"/>
    </row>
    <row r="246" ht="15.0" customHeight="1">
      <c r="B246" s="140"/>
      <c r="C246" s="61"/>
      <c r="D246" s="61"/>
    </row>
    <row r="247" ht="15.0" customHeight="1">
      <c r="B247" s="140"/>
      <c r="C247" s="61"/>
      <c r="D247" s="61"/>
    </row>
    <row r="248" ht="15.0" customHeight="1">
      <c r="B248" s="140"/>
      <c r="C248" s="61"/>
      <c r="D248" s="61"/>
    </row>
    <row r="249" ht="15.0" customHeight="1">
      <c r="B249" s="140"/>
      <c r="C249" s="61"/>
      <c r="D249" s="61"/>
    </row>
    <row r="250" ht="15.0" customHeight="1">
      <c r="B250" s="140"/>
      <c r="C250" s="61"/>
      <c r="D250" s="61"/>
    </row>
    <row r="251" ht="15.0" customHeight="1">
      <c r="B251" s="140"/>
      <c r="C251" s="61"/>
      <c r="D251" s="61"/>
    </row>
    <row r="252" ht="15.0" customHeight="1">
      <c r="B252" s="140"/>
      <c r="C252" s="61"/>
      <c r="D252" s="61"/>
    </row>
    <row r="253" ht="15.0" customHeight="1">
      <c r="B253" s="140"/>
      <c r="C253" s="61"/>
      <c r="D253" s="61"/>
    </row>
    <row r="254" ht="15.0" customHeight="1">
      <c r="B254" s="140"/>
      <c r="C254" s="61"/>
      <c r="D254" s="61"/>
    </row>
    <row r="255" ht="15.0" customHeight="1">
      <c r="B255" s="140"/>
      <c r="C255" s="61"/>
      <c r="D255" s="61"/>
    </row>
    <row r="256" ht="15.0" customHeight="1">
      <c r="B256" s="140"/>
      <c r="C256" s="61"/>
      <c r="D256" s="61"/>
    </row>
    <row r="257" ht="15.0" customHeight="1">
      <c r="B257" s="140"/>
      <c r="C257" s="61"/>
      <c r="D257" s="61"/>
    </row>
    <row r="258" ht="15.0" customHeight="1">
      <c r="B258" s="140"/>
      <c r="C258" s="61"/>
      <c r="D258" s="61"/>
    </row>
    <row r="259" ht="15.0" customHeight="1">
      <c r="B259" s="140"/>
      <c r="C259" s="61"/>
      <c r="D259" s="61"/>
    </row>
    <row r="260" ht="15.0" customHeight="1">
      <c r="B260" s="140"/>
      <c r="C260" s="61"/>
      <c r="D260" s="61"/>
    </row>
    <row r="261" ht="15.0" customHeight="1">
      <c r="B261" s="140"/>
      <c r="C261" s="61"/>
      <c r="D261" s="61"/>
    </row>
    <row r="262" ht="15.0" customHeight="1">
      <c r="B262" s="140"/>
      <c r="C262" s="61"/>
      <c r="D262" s="61"/>
    </row>
    <row r="263" ht="15.0" customHeight="1">
      <c r="B263" s="140"/>
      <c r="C263" s="61"/>
      <c r="D263" s="61"/>
    </row>
    <row r="264" ht="15.0" customHeight="1">
      <c r="B264" s="140"/>
      <c r="C264" s="61"/>
      <c r="D264" s="61"/>
    </row>
    <row r="265" ht="15.0" customHeight="1">
      <c r="B265" s="140"/>
      <c r="C265" s="61"/>
      <c r="D265" s="61"/>
    </row>
    <row r="266" ht="15.0" customHeight="1">
      <c r="B266" s="140"/>
      <c r="C266" s="61"/>
      <c r="D266" s="61"/>
    </row>
    <row r="267" ht="15.0" customHeight="1">
      <c r="B267" s="140"/>
      <c r="C267" s="61"/>
      <c r="D267" s="61"/>
    </row>
    <row r="268" ht="15.0" customHeight="1">
      <c r="B268" s="140"/>
      <c r="C268" s="61"/>
      <c r="D268" s="61"/>
    </row>
    <row r="269" ht="15.0" customHeight="1">
      <c r="B269" s="140"/>
      <c r="C269" s="61"/>
      <c r="D269" s="61"/>
    </row>
    <row r="270" ht="15.0" customHeight="1">
      <c r="B270" s="140"/>
      <c r="C270" s="61"/>
      <c r="D270" s="61"/>
    </row>
    <row r="271" ht="15.0" customHeight="1">
      <c r="B271" s="140"/>
      <c r="C271" s="61"/>
      <c r="D271" s="61"/>
    </row>
    <row r="272" ht="15.0" customHeight="1">
      <c r="B272" s="140"/>
      <c r="C272" s="61"/>
      <c r="D272" s="61"/>
    </row>
    <row r="273" ht="15.0" customHeight="1">
      <c r="B273" s="140"/>
      <c r="C273" s="61"/>
      <c r="D273" s="61"/>
    </row>
    <row r="274" ht="15.0" customHeight="1">
      <c r="B274" s="140"/>
      <c r="C274" s="61"/>
      <c r="D274" s="61"/>
    </row>
    <row r="275" ht="15.0" customHeight="1">
      <c r="B275" s="140"/>
      <c r="C275" s="61"/>
      <c r="D275" s="61"/>
    </row>
    <row r="276" ht="15.0" customHeight="1">
      <c r="B276" s="140"/>
      <c r="C276" s="61"/>
      <c r="D276" s="61"/>
    </row>
    <row r="277" ht="15.0" customHeight="1">
      <c r="B277" s="140"/>
      <c r="C277" s="61"/>
      <c r="D277" s="61"/>
    </row>
    <row r="278" ht="15.0" customHeight="1">
      <c r="B278" s="140"/>
      <c r="C278" s="61"/>
      <c r="D278" s="61"/>
    </row>
    <row r="279" ht="15.0" customHeight="1">
      <c r="B279" s="140"/>
      <c r="C279" s="61"/>
      <c r="D279" s="61"/>
    </row>
    <row r="280" ht="15.0" customHeight="1">
      <c r="B280" s="140"/>
      <c r="C280" s="61"/>
      <c r="D280" s="61"/>
    </row>
    <row r="281" ht="15.0" customHeight="1">
      <c r="B281" s="140"/>
      <c r="C281" s="61"/>
      <c r="D281" s="61"/>
    </row>
    <row r="282" ht="15.0" customHeight="1">
      <c r="B282" s="140"/>
      <c r="C282" s="61"/>
      <c r="D282" s="61"/>
    </row>
    <row r="283" ht="15.0" customHeight="1">
      <c r="B283" s="140"/>
      <c r="C283" s="61"/>
      <c r="D283" s="61"/>
    </row>
    <row r="284" ht="15.0" customHeight="1">
      <c r="B284" s="140"/>
      <c r="C284" s="61"/>
      <c r="D284" s="61"/>
    </row>
    <row r="285" ht="15.0" customHeight="1">
      <c r="B285" s="140"/>
      <c r="C285" s="61"/>
      <c r="D285" s="61"/>
    </row>
    <row r="286" ht="15.0" customHeight="1">
      <c r="B286" s="140"/>
      <c r="C286" s="61"/>
      <c r="D286" s="61"/>
    </row>
    <row r="287" ht="15.0" customHeight="1">
      <c r="B287" s="140"/>
      <c r="C287" s="61"/>
      <c r="D287" s="61"/>
    </row>
    <row r="288" ht="15.0" customHeight="1">
      <c r="B288" s="140"/>
      <c r="C288" s="61"/>
      <c r="D288" s="61"/>
    </row>
    <row r="289" ht="15.0" customHeight="1">
      <c r="B289" s="140"/>
      <c r="C289" s="61"/>
      <c r="D289" s="61"/>
    </row>
    <row r="290" ht="15.0" customHeight="1">
      <c r="B290" s="140"/>
      <c r="C290" s="61"/>
      <c r="D290" s="61"/>
    </row>
    <row r="291" ht="15.0" customHeight="1">
      <c r="B291" s="140"/>
      <c r="C291" s="61"/>
      <c r="D291" s="61"/>
    </row>
    <row r="292" ht="15.0" customHeight="1">
      <c r="B292" s="140"/>
      <c r="C292" s="61"/>
      <c r="D292" s="61"/>
    </row>
    <row r="293" ht="15.0" customHeight="1">
      <c r="B293" s="140"/>
      <c r="C293" s="61"/>
      <c r="D293" s="61"/>
    </row>
    <row r="294" ht="28.5" customHeight="1">
      <c r="B294" s="140"/>
      <c r="C294" s="61"/>
      <c r="D294" s="61"/>
    </row>
    <row r="295" ht="28.5" customHeight="1">
      <c r="B295" s="140"/>
      <c r="C295" s="61"/>
      <c r="D295" s="61"/>
    </row>
    <row r="296" ht="28.5" customHeight="1">
      <c r="B296" s="140"/>
      <c r="C296" s="61"/>
      <c r="D296" s="61"/>
    </row>
    <row r="297" ht="28.5" customHeight="1">
      <c r="B297" s="140"/>
      <c r="C297" s="61"/>
      <c r="D297" s="61"/>
    </row>
    <row r="298" ht="28.5" customHeight="1">
      <c r="B298" s="140"/>
      <c r="C298" s="61"/>
      <c r="D298" s="61"/>
    </row>
    <row r="299" ht="28.5" customHeight="1">
      <c r="B299" s="140"/>
      <c r="C299" s="61"/>
      <c r="D299" s="61"/>
    </row>
    <row r="300" ht="28.5" customHeight="1">
      <c r="B300" s="140"/>
      <c r="C300" s="61"/>
      <c r="D300" s="61"/>
    </row>
    <row r="301" ht="28.5" customHeight="1">
      <c r="B301" s="140"/>
      <c r="C301" s="61"/>
      <c r="D301" s="61"/>
    </row>
    <row r="302" ht="28.5" customHeight="1">
      <c r="B302" s="140"/>
      <c r="C302" s="61"/>
      <c r="D302" s="61"/>
    </row>
    <row r="303" ht="28.5" customHeight="1">
      <c r="B303" s="140"/>
      <c r="C303" s="61"/>
      <c r="D303" s="61"/>
    </row>
    <row r="304" ht="28.5" customHeight="1">
      <c r="B304" s="140"/>
      <c r="C304" s="61"/>
      <c r="D304" s="61"/>
    </row>
    <row r="305" ht="28.5" customHeight="1">
      <c r="B305" s="140"/>
      <c r="C305" s="61"/>
      <c r="D305" s="61"/>
    </row>
    <row r="306" ht="28.5" customHeight="1">
      <c r="B306" s="140"/>
      <c r="C306" s="61"/>
      <c r="D306" s="61"/>
    </row>
    <row r="307" ht="28.5" customHeight="1">
      <c r="B307" s="140"/>
      <c r="C307" s="61"/>
      <c r="D307" s="61"/>
    </row>
    <row r="308" ht="28.5" customHeight="1">
      <c r="B308" s="140"/>
      <c r="C308" s="61"/>
      <c r="D308" s="61"/>
    </row>
    <row r="309" ht="28.5" customHeight="1">
      <c r="B309" s="140"/>
      <c r="C309" s="61"/>
      <c r="D309" s="61"/>
    </row>
    <row r="310" ht="28.5" customHeight="1">
      <c r="B310" s="140"/>
      <c r="C310" s="61"/>
      <c r="D310" s="61"/>
    </row>
    <row r="311" ht="28.5" customHeight="1">
      <c r="B311" s="140"/>
      <c r="C311" s="61"/>
      <c r="D311" s="61"/>
    </row>
    <row r="312" ht="28.5" customHeight="1">
      <c r="B312" s="140"/>
      <c r="C312" s="61"/>
      <c r="D312" s="61"/>
    </row>
    <row r="313" ht="28.5" customHeight="1">
      <c r="B313" s="140"/>
      <c r="C313" s="61"/>
      <c r="D313" s="61"/>
    </row>
    <row r="314" ht="28.5" customHeight="1">
      <c r="B314" s="140"/>
      <c r="C314" s="61"/>
      <c r="D314" s="61"/>
    </row>
    <row r="315" ht="28.5" customHeight="1">
      <c r="B315" s="140"/>
      <c r="C315" s="61"/>
      <c r="D315" s="61"/>
    </row>
    <row r="316" ht="28.5" customHeight="1">
      <c r="B316" s="140"/>
      <c r="C316" s="61"/>
      <c r="D316" s="61"/>
    </row>
    <row r="317" ht="28.5" customHeight="1">
      <c r="B317" s="140"/>
      <c r="C317" s="61"/>
      <c r="D317" s="61"/>
    </row>
    <row r="318" ht="28.5" customHeight="1">
      <c r="B318" s="140"/>
      <c r="C318" s="61"/>
      <c r="D318" s="61"/>
    </row>
    <row r="319" ht="28.5" customHeight="1">
      <c r="B319" s="140"/>
      <c r="C319" s="61"/>
      <c r="D319" s="61"/>
    </row>
    <row r="320" ht="28.5" customHeight="1">
      <c r="B320" s="140"/>
      <c r="C320" s="61"/>
      <c r="D320" s="61"/>
    </row>
    <row r="321" ht="28.5" customHeight="1">
      <c r="B321" s="140"/>
      <c r="C321" s="61"/>
      <c r="D321" s="61"/>
    </row>
    <row r="322" ht="28.5" customHeight="1">
      <c r="B322" s="140"/>
      <c r="C322" s="61"/>
      <c r="D322" s="61"/>
    </row>
    <row r="323" ht="28.5" customHeight="1">
      <c r="B323" s="140"/>
      <c r="C323" s="61"/>
      <c r="D323" s="61"/>
    </row>
    <row r="324" ht="28.5" customHeight="1">
      <c r="B324" s="140"/>
      <c r="C324" s="61"/>
      <c r="D324" s="61"/>
    </row>
    <row r="325" ht="28.5" customHeight="1">
      <c r="B325" s="140"/>
      <c r="C325" s="61"/>
      <c r="D325" s="61"/>
    </row>
    <row r="326" ht="28.5" customHeight="1">
      <c r="B326" s="140"/>
      <c r="C326" s="61"/>
      <c r="D326" s="61"/>
    </row>
    <row r="327" ht="28.5" customHeight="1">
      <c r="B327" s="140"/>
      <c r="C327" s="61"/>
      <c r="D327" s="61"/>
    </row>
    <row r="328" ht="28.5" customHeight="1">
      <c r="B328" s="140"/>
      <c r="C328" s="61"/>
      <c r="D328" s="61"/>
    </row>
    <row r="329" ht="28.5" customHeight="1">
      <c r="B329" s="140"/>
      <c r="C329" s="61"/>
      <c r="D329" s="61"/>
    </row>
    <row r="330" ht="28.5" customHeight="1">
      <c r="B330" s="140"/>
      <c r="C330" s="61"/>
      <c r="D330" s="61"/>
    </row>
    <row r="331" ht="28.5" customHeight="1">
      <c r="B331" s="140"/>
      <c r="C331" s="61"/>
      <c r="D331" s="61"/>
    </row>
    <row r="332" ht="28.5" customHeight="1">
      <c r="B332" s="140"/>
      <c r="C332" s="61"/>
      <c r="D332" s="61"/>
    </row>
    <row r="333" ht="28.5" customHeight="1">
      <c r="B333" s="140"/>
      <c r="C333" s="61"/>
      <c r="D333" s="61"/>
    </row>
    <row r="334" ht="28.5" customHeight="1">
      <c r="B334" s="140"/>
      <c r="C334" s="61"/>
      <c r="D334" s="61"/>
    </row>
    <row r="335" ht="28.5" customHeight="1">
      <c r="B335" s="140"/>
      <c r="C335" s="61"/>
      <c r="D335" s="61"/>
    </row>
    <row r="336" ht="28.5" customHeight="1">
      <c r="B336" s="140"/>
      <c r="C336" s="61"/>
      <c r="D336" s="61"/>
    </row>
    <row r="337" ht="28.5" customHeight="1">
      <c r="B337" s="140"/>
      <c r="C337" s="61"/>
      <c r="D337" s="61"/>
    </row>
    <row r="338" ht="28.5" customHeight="1">
      <c r="B338" s="140"/>
      <c r="C338" s="61"/>
      <c r="D338" s="61"/>
    </row>
    <row r="339" ht="28.5" customHeight="1">
      <c r="B339" s="140"/>
      <c r="C339" s="61"/>
      <c r="D339" s="61"/>
    </row>
    <row r="340" ht="28.5" customHeight="1">
      <c r="B340" s="140"/>
      <c r="C340" s="61"/>
      <c r="D340" s="61"/>
    </row>
    <row r="341" ht="28.5" customHeight="1">
      <c r="B341" s="140"/>
      <c r="C341" s="61"/>
      <c r="D341" s="61"/>
    </row>
    <row r="342" ht="28.5" customHeight="1">
      <c r="B342" s="140"/>
      <c r="C342" s="61"/>
      <c r="D342" s="61"/>
    </row>
    <row r="343" ht="28.5" customHeight="1">
      <c r="B343" s="140"/>
      <c r="C343" s="61"/>
      <c r="D343" s="61"/>
    </row>
    <row r="344" ht="28.5" customHeight="1">
      <c r="B344" s="140"/>
      <c r="C344" s="61"/>
      <c r="D344" s="61"/>
    </row>
    <row r="345" ht="28.5" customHeight="1">
      <c r="B345" s="140"/>
      <c r="C345" s="61"/>
      <c r="D345" s="61"/>
    </row>
    <row r="346" ht="28.5" customHeight="1">
      <c r="B346" s="140"/>
      <c r="C346" s="61"/>
      <c r="D346" s="61"/>
    </row>
    <row r="347" ht="28.5" customHeight="1">
      <c r="B347" s="140"/>
      <c r="C347" s="61"/>
      <c r="D347" s="61"/>
    </row>
    <row r="348" ht="28.5" customHeight="1">
      <c r="B348" s="140"/>
      <c r="C348" s="61"/>
      <c r="D348" s="61"/>
    </row>
    <row r="349" ht="28.5" customHeight="1">
      <c r="B349" s="140"/>
      <c r="C349" s="61"/>
      <c r="D349" s="61"/>
    </row>
    <row r="350" ht="28.5" customHeight="1">
      <c r="B350" s="140"/>
      <c r="C350" s="61"/>
      <c r="D350" s="61"/>
    </row>
    <row r="351" ht="28.5" customHeight="1">
      <c r="B351" s="140"/>
      <c r="C351" s="61"/>
      <c r="D351" s="61"/>
    </row>
    <row r="352" ht="28.5" customHeight="1">
      <c r="B352" s="140"/>
      <c r="C352" s="61"/>
      <c r="D352" s="61"/>
    </row>
    <row r="353" ht="28.5" customHeight="1">
      <c r="B353" s="140"/>
      <c r="C353" s="61"/>
      <c r="D353" s="61"/>
    </row>
    <row r="354" ht="28.5" customHeight="1">
      <c r="B354" s="140"/>
      <c r="C354" s="61"/>
      <c r="D354" s="61"/>
    </row>
    <row r="355" ht="28.5" customHeight="1">
      <c r="B355" s="140"/>
      <c r="C355" s="61"/>
      <c r="D355" s="61"/>
    </row>
    <row r="356" ht="28.5" customHeight="1">
      <c r="B356" s="140"/>
      <c r="C356" s="61"/>
      <c r="D356" s="61"/>
    </row>
    <row r="357" ht="28.5" customHeight="1">
      <c r="B357" s="140"/>
      <c r="C357" s="61"/>
      <c r="D357" s="61"/>
    </row>
    <row r="358" ht="28.5" customHeight="1">
      <c r="B358" s="140"/>
      <c r="C358" s="61"/>
      <c r="D358" s="61"/>
    </row>
    <row r="359" ht="28.5" customHeight="1">
      <c r="B359" s="140"/>
      <c r="C359" s="61"/>
      <c r="D359" s="61"/>
    </row>
    <row r="360" ht="28.5" customHeight="1">
      <c r="B360" s="140"/>
      <c r="C360" s="61"/>
      <c r="D360" s="61"/>
    </row>
    <row r="361" ht="28.5" customHeight="1">
      <c r="B361" s="140"/>
      <c r="C361" s="61"/>
      <c r="D361" s="61"/>
    </row>
    <row r="362" ht="28.5" customHeight="1">
      <c r="B362" s="140"/>
      <c r="C362" s="61"/>
      <c r="D362" s="61"/>
    </row>
    <row r="363" ht="28.5" customHeight="1">
      <c r="B363" s="140"/>
      <c r="C363" s="61"/>
      <c r="D363" s="61"/>
    </row>
    <row r="364" ht="28.5" customHeight="1">
      <c r="B364" s="140"/>
      <c r="C364" s="61"/>
      <c r="D364" s="61"/>
    </row>
    <row r="365" ht="28.5" customHeight="1">
      <c r="B365" s="140"/>
      <c r="C365" s="61"/>
      <c r="D365" s="61"/>
    </row>
    <row r="366" ht="28.5" customHeight="1">
      <c r="B366" s="140"/>
      <c r="C366" s="61"/>
      <c r="D366" s="61"/>
    </row>
    <row r="367" ht="28.5" customHeight="1">
      <c r="B367" s="140"/>
      <c r="C367" s="61"/>
      <c r="D367" s="61"/>
    </row>
    <row r="368" ht="28.5" customHeight="1">
      <c r="B368" s="140"/>
      <c r="C368" s="61"/>
      <c r="D368" s="61"/>
    </row>
    <row r="369" ht="28.5" customHeight="1">
      <c r="B369" s="140"/>
      <c r="C369" s="61"/>
      <c r="D369" s="61"/>
    </row>
    <row r="370" ht="28.5" customHeight="1">
      <c r="B370" s="140"/>
      <c r="C370" s="61"/>
      <c r="D370" s="61"/>
    </row>
    <row r="371" ht="28.5" customHeight="1">
      <c r="B371" s="140"/>
      <c r="C371" s="61"/>
      <c r="D371" s="61"/>
    </row>
    <row r="372" ht="28.5" customHeight="1">
      <c r="B372" s="140"/>
      <c r="C372" s="61"/>
      <c r="D372" s="61"/>
    </row>
    <row r="373" ht="28.5" customHeight="1">
      <c r="B373" s="140"/>
      <c r="C373" s="61"/>
      <c r="D373" s="61"/>
    </row>
    <row r="374" ht="28.5" customHeight="1">
      <c r="B374" s="140"/>
      <c r="C374" s="61"/>
      <c r="D374" s="61"/>
    </row>
    <row r="375" ht="28.5" customHeight="1">
      <c r="B375" s="140"/>
      <c r="C375" s="61"/>
      <c r="D375" s="61"/>
    </row>
    <row r="376" ht="28.5" customHeight="1">
      <c r="B376" s="140"/>
      <c r="C376" s="61"/>
      <c r="D376" s="61"/>
    </row>
    <row r="377" ht="28.5" customHeight="1">
      <c r="B377" s="140"/>
      <c r="C377" s="61"/>
      <c r="D377" s="61"/>
    </row>
    <row r="378" ht="28.5" customHeight="1">
      <c r="B378" s="140"/>
      <c r="C378" s="61"/>
      <c r="D378" s="61"/>
    </row>
    <row r="379" ht="28.5" customHeight="1">
      <c r="B379" s="140"/>
      <c r="C379" s="61"/>
      <c r="D379" s="61"/>
    </row>
    <row r="380" ht="28.5" customHeight="1">
      <c r="B380" s="140"/>
      <c r="C380" s="61"/>
      <c r="D380" s="61"/>
    </row>
    <row r="381" ht="28.5" customHeight="1">
      <c r="B381" s="140"/>
      <c r="C381" s="61"/>
      <c r="D381" s="61"/>
    </row>
    <row r="382" ht="28.5" customHeight="1">
      <c r="B382" s="140"/>
      <c r="C382" s="61"/>
      <c r="D382" s="61"/>
    </row>
    <row r="383" ht="28.5" customHeight="1">
      <c r="B383" s="140"/>
      <c r="C383" s="61"/>
      <c r="D383" s="61"/>
    </row>
    <row r="384" ht="28.5" customHeight="1">
      <c r="B384" s="140"/>
      <c r="C384" s="61"/>
      <c r="D384" s="61"/>
    </row>
    <row r="385" ht="28.5" customHeight="1">
      <c r="B385" s="140"/>
      <c r="C385" s="61"/>
      <c r="D385" s="61"/>
    </row>
    <row r="386" ht="28.5" customHeight="1">
      <c r="B386" s="140"/>
      <c r="C386" s="61"/>
      <c r="D386" s="61"/>
    </row>
    <row r="387" ht="28.5" customHeight="1">
      <c r="B387" s="140"/>
      <c r="C387" s="61"/>
      <c r="D387" s="61"/>
    </row>
    <row r="388" ht="28.5" customHeight="1">
      <c r="B388" s="140"/>
      <c r="C388" s="61"/>
      <c r="D388" s="61"/>
    </row>
    <row r="389" ht="28.5" customHeight="1">
      <c r="B389" s="140"/>
      <c r="C389" s="61"/>
      <c r="D389" s="61"/>
    </row>
    <row r="390" ht="28.5" customHeight="1">
      <c r="B390" s="140"/>
      <c r="C390" s="61"/>
      <c r="D390" s="61"/>
    </row>
    <row r="391" ht="28.5" customHeight="1">
      <c r="B391" s="140"/>
      <c r="C391" s="61"/>
      <c r="D391" s="61"/>
    </row>
    <row r="392" ht="28.5" customHeight="1">
      <c r="B392" s="140"/>
      <c r="C392" s="61"/>
      <c r="D392" s="61"/>
    </row>
    <row r="393" ht="28.5" customHeight="1">
      <c r="B393" s="140"/>
      <c r="C393" s="61"/>
      <c r="D393" s="61"/>
    </row>
    <row r="394" ht="28.5" customHeight="1">
      <c r="B394" s="140"/>
      <c r="C394" s="61"/>
      <c r="D394" s="61"/>
    </row>
    <row r="395" ht="28.5" customHeight="1">
      <c r="B395" s="140"/>
      <c r="C395" s="61"/>
      <c r="D395" s="61"/>
    </row>
    <row r="396" ht="28.5" customHeight="1">
      <c r="B396" s="140"/>
      <c r="C396" s="61"/>
      <c r="D396" s="61"/>
    </row>
    <row r="397" ht="28.5" customHeight="1">
      <c r="B397" s="140"/>
      <c r="C397" s="61"/>
      <c r="D397" s="61"/>
    </row>
    <row r="398" ht="28.5" customHeight="1">
      <c r="B398" s="140"/>
      <c r="C398" s="61"/>
      <c r="D398" s="61"/>
    </row>
    <row r="399" ht="28.5" customHeight="1">
      <c r="B399" s="140"/>
      <c r="C399" s="61"/>
      <c r="D399" s="61"/>
    </row>
    <row r="400" ht="28.5" customHeight="1">
      <c r="B400" s="140"/>
      <c r="C400" s="61"/>
      <c r="D400" s="61"/>
    </row>
    <row r="401" ht="28.5" customHeight="1">
      <c r="B401" s="140"/>
      <c r="C401" s="61"/>
      <c r="D401" s="61"/>
    </row>
    <row r="402" ht="28.5" customHeight="1">
      <c r="B402" s="140"/>
      <c r="C402" s="61"/>
      <c r="D402" s="61"/>
    </row>
    <row r="403" ht="28.5" customHeight="1">
      <c r="B403" s="140"/>
      <c r="C403" s="61"/>
      <c r="D403" s="61"/>
    </row>
    <row r="404" ht="28.5" customHeight="1">
      <c r="B404" s="140"/>
      <c r="C404" s="61"/>
      <c r="D404" s="61"/>
    </row>
    <row r="405" ht="28.5" customHeight="1">
      <c r="B405" s="140"/>
      <c r="C405" s="61"/>
      <c r="D405" s="61"/>
    </row>
    <row r="406" ht="28.5" customHeight="1">
      <c r="B406" s="140"/>
      <c r="C406" s="61"/>
      <c r="D406" s="61"/>
    </row>
    <row r="407" ht="28.5" customHeight="1">
      <c r="B407" s="140"/>
      <c r="C407" s="61"/>
      <c r="D407" s="61"/>
    </row>
    <row r="408" ht="28.5" customHeight="1">
      <c r="B408" s="140"/>
      <c r="C408" s="61"/>
      <c r="D408" s="61"/>
    </row>
    <row r="409" ht="28.5" customHeight="1">
      <c r="B409" s="140"/>
      <c r="C409" s="61"/>
      <c r="D409" s="61"/>
    </row>
    <row r="410" ht="28.5" customHeight="1">
      <c r="B410" s="140"/>
      <c r="C410" s="61"/>
      <c r="D410" s="61"/>
    </row>
    <row r="411" ht="28.5" customHeight="1">
      <c r="B411" s="140"/>
      <c r="C411" s="61"/>
      <c r="D411" s="61"/>
    </row>
    <row r="412" ht="28.5" customHeight="1">
      <c r="B412" s="140"/>
      <c r="C412" s="61"/>
      <c r="D412" s="61"/>
    </row>
    <row r="413" ht="28.5" customHeight="1">
      <c r="B413" s="140"/>
      <c r="C413" s="61"/>
      <c r="D413" s="61"/>
    </row>
    <row r="414" ht="28.5" customHeight="1">
      <c r="B414" s="140"/>
      <c r="C414" s="61"/>
      <c r="D414" s="61"/>
    </row>
    <row r="415" ht="28.5" customHeight="1">
      <c r="B415" s="140"/>
      <c r="C415" s="61"/>
      <c r="D415" s="61"/>
    </row>
    <row r="416" ht="28.5" customHeight="1">
      <c r="B416" s="140"/>
      <c r="C416" s="61"/>
      <c r="D416" s="61"/>
    </row>
    <row r="417" ht="28.5" customHeight="1">
      <c r="B417" s="140"/>
      <c r="C417" s="61"/>
      <c r="D417" s="61"/>
    </row>
    <row r="418" ht="28.5" customHeight="1">
      <c r="B418" s="140"/>
      <c r="C418" s="61"/>
      <c r="D418" s="61"/>
    </row>
    <row r="419" ht="28.5" customHeight="1">
      <c r="B419" s="140"/>
      <c r="C419" s="61"/>
      <c r="D419" s="61"/>
    </row>
    <row r="420" ht="28.5" customHeight="1">
      <c r="B420" s="140"/>
      <c r="C420" s="61"/>
      <c r="D420" s="61"/>
    </row>
    <row r="421" ht="28.5" customHeight="1">
      <c r="B421" s="140"/>
      <c r="C421" s="61"/>
      <c r="D421" s="61"/>
    </row>
    <row r="422" ht="28.5" customHeight="1">
      <c r="B422" s="140"/>
      <c r="C422" s="61"/>
      <c r="D422" s="61"/>
    </row>
    <row r="423" ht="28.5" customHeight="1">
      <c r="B423" s="140"/>
      <c r="C423" s="61"/>
      <c r="D423" s="61"/>
    </row>
    <row r="424" ht="28.5" customHeight="1">
      <c r="B424" s="140"/>
      <c r="C424" s="61"/>
      <c r="D424" s="61"/>
    </row>
    <row r="425" ht="28.5" customHeight="1">
      <c r="B425" s="140"/>
      <c r="C425" s="61"/>
      <c r="D425" s="61"/>
    </row>
    <row r="426" ht="28.5" customHeight="1">
      <c r="B426" s="140"/>
      <c r="C426" s="61"/>
      <c r="D426" s="61"/>
    </row>
    <row r="427" ht="28.5" customHeight="1">
      <c r="B427" s="140"/>
      <c r="C427" s="61"/>
      <c r="D427" s="61"/>
    </row>
    <row r="428" ht="28.5" customHeight="1">
      <c r="B428" s="140"/>
      <c r="C428" s="61"/>
      <c r="D428" s="61"/>
    </row>
    <row r="429" ht="28.5" customHeight="1">
      <c r="B429" s="140"/>
      <c r="C429" s="61"/>
      <c r="D429" s="61"/>
    </row>
    <row r="430" ht="28.5" customHeight="1">
      <c r="B430" s="140"/>
      <c r="C430" s="61"/>
      <c r="D430" s="61"/>
    </row>
    <row r="431" ht="28.5" customHeight="1">
      <c r="B431" s="140"/>
      <c r="C431" s="61"/>
      <c r="D431" s="61"/>
    </row>
    <row r="432" ht="28.5" customHeight="1">
      <c r="B432" s="140"/>
      <c r="C432" s="61"/>
      <c r="D432" s="61"/>
    </row>
    <row r="433" ht="28.5" customHeight="1">
      <c r="B433" s="140"/>
      <c r="C433" s="61"/>
      <c r="D433" s="61"/>
    </row>
    <row r="434" ht="28.5" customHeight="1">
      <c r="B434" s="140"/>
      <c r="C434" s="61"/>
      <c r="D434" s="61"/>
    </row>
    <row r="435" ht="28.5" customHeight="1">
      <c r="B435" s="140"/>
      <c r="C435" s="61"/>
      <c r="D435" s="61"/>
    </row>
    <row r="436" ht="28.5" customHeight="1">
      <c r="B436" s="140"/>
      <c r="C436" s="61"/>
      <c r="D436" s="61"/>
    </row>
    <row r="437" ht="28.5" customHeight="1">
      <c r="B437" s="140"/>
      <c r="C437" s="61"/>
      <c r="D437" s="61"/>
    </row>
    <row r="438" ht="28.5" customHeight="1">
      <c r="B438" s="140"/>
      <c r="C438" s="61"/>
      <c r="D438" s="61"/>
    </row>
    <row r="439" ht="28.5" customHeight="1">
      <c r="B439" s="140"/>
      <c r="C439" s="61"/>
      <c r="D439" s="61"/>
    </row>
    <row r="440" ht="28.5" customHeight="1">
      <c r="B440" s="140"/>
      <c r="C440" s="61"/>
      <c r="D440" s="61"/>
    </row>
    <row r="441" ht="28.5" customHeight="1">
      <c r="B441" s="140"/>
      <c r="C441" s="61"/>
      <c r="D441" s="61"/>
    </row>
    <row r="442" ht="28.5" customHeight="1">
      <c r="B442" s="140"/>
      <c r="C442" s="61"/>
      <c r="D442" s="61"/>
    </row>
    <row r="443" ht="28.5" customHeight="1">
      <c r="B443" s="140"/>
      <c r="C443" s="61"/>
      <c r="D443" s="61"/>
    </row>
    <row r="444" ht="28.5" customHeight="1">
      <c r="B444" s="140"/>
      <c r="C444" s="61"/>
      <c r="D444" s="61"/>
    </row>
    <row r="445" ht="28.5" customHeight="1">
      <c r="B445" s="140"/>
      <c r="C445" s="61"/>
      <c r="D445" s="61"/>
    </row>
    <row r="446" ht="28.5" customHeight="1">
      <c r="B446" s="140"/>
      <c r="C446" s="61"/>
      <c r="D446" s="61"/>
    </row>
    <row r="447" ht="28.5" customHeight="1">
      <c r="B447" s="140"/>
      <c r="C447" s="61"/>
      <c r="D447" s="61"/>
    </row>
    <row r="448" ht="28.5" customHeight="1">
      <c r="B448" s="140"/>
      <c r="C448" s="61"/>
      <c r="D448" s="61"/>
    </row>
    <row r="449" ht="28.5" customHeight="1">
      <c r="B449" s="140"/>
      <c r="C449" s="61"/>
      <c r="D449" s="61"/>
    </row>
    <row r="450" ht="28.5" customHeight="1">
      <c r="B450" s="140"/>
      <c r="C450" s="61"/>
      <c r="D450" s="61"/>
    </row>
    <row r="451" ht="28.5" customHeight="1">
      <c r="B451" s="140"/>
      <c r="C451" s="61"/>
      <c r="D451" s="61"/>
    </row>
    <row r="452" ht="28.5" customHeight="1">
      <c r="B452" s="140"/>
      <c r="C452" s="61"/>
      <c r="D452" s="61"/>
    </row>
    <row r="453" ht="28.5" customHeight="1">
      <c r="B453" s="140"/>
      <c r="C453" s="61"/>
      <c r="D453" s="61"/>
    </row>
    <row r="454" ht="28.5" customHeight="1">
      <c r="B454" s="140"/>
      <c r="C454" s="61"/>
      <c r="D454" s="61"/>
    </row>
    <row r="455" ht="28.5" customHeight="1">
      <c r="B455" s="140"/>
      <c r="C455" s="61"/>
      <c r="D455" s="61"/>
    </row>
    <row r="456" ht="28.5" customHeight="1">
      <c r="B456" s="140"/>
      <c r="C456" s="61"/>
      <c r="D456" s="61"/>
    </row>
    <row r="457" ht="28.5" customHeight="1">
      <c r="B457" s="140"/>
      <c r="C457" s="61"/>
      <c r="D457" s="61"/>
    </row>
    <row r="458" ht="28.5" customHeight="1">
      <c r="B458" s="140"/>
      <c r="C458" s="61"/>
      <c r="D458" s="61"/>
    </row>
    <row r="459" ht="28.5" customHeight="1">
      <c r="B459" s="140"/>
      <c r="C459" s="61"/>
      <c r="D459" s="61"/>
    </row>
    <row r="460" ht="28.5" customHeight="1">
      <c r="B460" s="140"/>
      <c r="C460" s="61"/>
      <c r="D460" s="61"/>
    </row>
    <row r="461" ht="28.5" customHeight="1">
      <c r="B461" s="140"/>
      <c r="C461" s="61"/>
      <c r="D461" s="61"/>
    </row>
    <row r="462" ht="28.5" customHeight="1">
      <c r="B462" s="140"/>
      <c r="C462" s="61"/>
      <c r="D462" s="61"/>
    </row>
    <row r="463" ht="28.5" customHeight="1">
      <c r="B463" s="140"/>
      <c r="C463" s="61"/>
      <c r="D463" s="61"/>
    </row>
    <row r="464" ht="28.5" customHeight="1">
      <c r="B464" s="140"/>
      <c r="C464" s="61"/>
      <c r="D464" s="61"/>
    </row>
    <row r="465" ht="28.5" customHeight="1">
      <c r="B465" s="140"/>
      <c r="C465" s="61"/>
      <c r="D465" s="61"/>
    </row>
    <row r="466" ht="28.5" customHeight="1">
      <c r="B466" s="140"/>
      <c r="C466" s="61"/>
      <c r="D466" s="61"/>
    </row>
    <row r="467" ht="28.5" customHeight="1">
      <c r="B467" s="140"/>
      <c r="C467" s="61"/>
      <c r="D467" s="61"/>
    </row>
    <row r="468" ht="28.5" customHeight="1">
      <c r="B468" s="140"/>
      <c r="C468" s="61"/>
      <c r="D468" s="61"/>
    </row>
    <row r="469" ht="28.5" customHeight="1">
      <c r="B469" s="140"/>
      <c r="C469" s="61"/>
      <c r="D469" s="61"/>
    </row>
    <row r="470" ht="28.5" customHeight="1">
      <c r="B470" s="140"/>
      <c r="C470" s="61"/>
      <c r="D470" s="61"/>
    </row>
    <row r="471" ht="28.5" customHeight="1">
      <c r="B471" s="140"/>
      <c r="C471" s="61"/>
      <c r="D471" s="61"/>
    </row>
    <row r="472" ht="28.5" customHeight="1">
      <c r="B472" s="140"/>
      <c r="C472" s="61"/>
      <c r="D472" s="61"/>
    </row>
    <row r="473" ht="28.5" customHeight="1">
      <c r="B473" s="140"/>
      <c r="C473" s="61"/>
      <c r="D473" s="61"/>
    </row>
    <row r="474" ht="28.5" customHeight="1">
      <c r="B474" s="140"/>
      <c r="C474" s="61"/>
      <c r="D474" s="61"/>
    </row>
    <row r="475" ht="28.5" customHeight="1">
      <c r="B475" s="140"/>
      <c r="C475" s="61"/>
      <c r="D475" s="61"/>
    </row>
    <row r="476" ht="28.5" customHeight="1">
      <c r="B476" s="140"/>
      <c r="C476" s="61"/>
      <c r="D476" s="61"/>
    </row>
    <row r="477" ht="28.5" customHeight="1">
      <c r="B477" s="140"/>
      <c r="C477" s="61"/>
      <c r="D477" s="61"/>
    </row>
    <row r="478" ht="28.5" customHeight="1">
      <c r="B478" s="140"/>
      <c r="C478" s="61"/>
      <c r="D478" s="61"/>
    </row>
    <row r="479" ht="28.5" customHeight="1">
      <c r="B479" s="140"/>
      <c r="C479" s="61"/>
      <c r="D479" s="61"/>
    </row>
    <row r="480" ht="28.5" customHeight="1">
      <c r="B480" s="140"/>
      <c r="C480" s="61"/>
      <c r="D480" s="61"/>
    </row>
    <row r="481" ht="28.5" customHeight="1">
      <c r="B481" s="140"/>
      <c r="C481" s="61"/>
      <c r="D481" s="61"/>
    </row>
    <row r="482" ht="28.5" customHeight="1">
      <c r="B482" s="140"/>
      <c r="C482" s="61"/>
      <c r="D482" s="61"/>
    </row>
    <row r="483" ht="28.5" customHeight="1">
      <c r="B483" s="140"/>
      <c r="C483" s="61"/>
      <c r="D483" s="61"/>
    </row>
    <row r="484" ht="28.5" customHeight="1">
      <c r="B484" s="140"/>
      <c r="C484" s="61"/>
      <c r="D484" s="61"/>
    </row>
    <row r="485" ht="28.5" customHeight="1">
      <c r="B485" s="140"/>
      <c r="C485" s="61"/>
      <c r="D485" s="61"/>
    </row>
    <row r="486" ht="28.5" customHeight="1">
      <c r="B486" s="140"/>
      <c r="C486" s="61"/>
      <c r="D486" s="61"/>
    </row>
    <row r="487" ht="28.5" customHeight="1">
      <c r="B487" s="140"/>
      <c r="C487" s="61"/>
      <c r="D487" s="61"/>
    </row>
    <row r="488" ht="28.5" customHeight="1">
      <c r="B488" s="140"/>
      <c r="C488" s="61"/>
      <c r="D488" s="61"/>
    </row>
    <row r="489" ht="28.5" customHeight="1">
      <c r="B489" s="140"/>
      <c r="C489" s="61"/>
      <c r="D489" s="61"/>
    </row>
    <row r="490" ht="28.5" customHeight="1">
      <c r="B490" s="140"/>
      <c r="C490" s="61"/>
      <c r="D490" s="61"/>
    </row>
    <row r="491" ht="28.5" customHeight="1">
      <c r="B491" s="140"/>
      <c r="C491" s="61"/>
      <c r="D491" s="61"/>
    </row>
    <row r="492" ht="28.5" customHeight="1">
      <c r="B492" s="140"/>
      <c r="C492" s="61"/>
      <c r="D492" s="61"/>
    </row>
    <row r="493" ht="28.5" customHeight="1">
      <c r="B493" s="140"/>
      <c r="C493" s="61"/>
      <c r="D493" s="61"/>
    </row>
    <row r="494" ht="28.5" customHeight="1">
      <c r="B494" s="140"/>
      <c r="C494" s="61"/>
      <c r="D494" s="61"/>
    </row>
    <row r="495" ht="28.5" customHeight="1">
      <c r="B495" s="140"/>
      <c r="C495" s="61"/>
      <c r="D495" s="61"/>
    </row>
    <row r="496" ht="28.5" customHeight="1">
      <c r="B496" s="140"/>
      <c r="C496" s="61"/>
      <c r="D496" s="61"/>
    </row>
    <row r="497" ht="28.5" customHeight="1">
      <c r="B497" s="140"/>
      <c r="C497" s="61"/>
      <c r="D497" s="61"/>
    </row>
    <row r="498" ht="28.5" customHeight="1">
      <c r="B498" s="140"/>
      <c r="C498" s="61"/>
      <c r="D498" s="61"/>
    </row>
    <row r="499" ht="28.5" customHeight="1">
      <c r="B499" s="140"/>
      <c r="C499" s="61"/>
      <c r="D499" s="61"/>
    </row>
    <row r="500" ht="28.5" customHeight="1">
      <c r="B500" s="140"/>
      <c r="C500" s="61"/>
      <c r="D500" s="61"/>
    </row>
    <row r="501" ht="28.5" customHeight="1">
      <c r="B501" s="140"/>
      <c r="C501" s="61"/>
      <c r="D501" s="61"/>
    </row>
    <row r="502" ht="28.5" customHeight="1">
      <c r="B502" s="140"/>
      <c r="C502" s="61"/>
      <c r="D502" s="61"/>
    </row>
    <row r="503" ht="28.5" customHeight="1">
      <c r="B503" s="140"/>
      <c r="C503" s="61"/>
      <c r="D503" s="61"/>
    </row>
    <row r="504" ht="28.5" customHeight="1">
      <c r="B504" s="140"/>
      <c r="C504" s="61"/>
      <c r="D504" s="61"/>
    </row>
    <row r="505" ht="28.5" customHeight="1">
      <c r="B505" s="140"/>
      <c r="C505" s="61"/>
      <c r="D505" s="61"/>
    </row>
    <row r="506" ht="28.5" customHeight="1">
      <c r="B506" s="140"/>
      <c r="C506" s="61"/>
      <c r="D506" s="61"/>
    </row>
    <row r="507" ht="28.5" customHeight="1">
      <c r="B507" s="140"/>
      <c r="C507" s="61"/>
      <c r="D507" s="61"/>
    </row>
    <row r="508" ht="28.5" customHeight="1">
      <c r="B508" s="140"/>
      <c r="C508" s="61"/>
      <c r="D508" s="61"/>
    </row>
    <row r="509" ht="28.5" customHeight="1">
      <c r="B509" s="140"/>
      <c r="C509" s="61"/>
      <c r="D509" s="61"/>
    </row>
    <row r="510" ht="28.5" customHeight="1">
      <c r="B510" s="140"/>
      <c r="C510" s="61"/>
      <c r="D510" s="61"/>
    </row>
    <row r="511" ht="28.5" customHeight="1">
      <c r="B511" s="140"/>
      <c r="C511" s="61"/>
      <c r="D511" s="61"/>
    </row>
    <row r="512" ht="28.5" customHeight="1">
      <c r="B512" s="140"/>
      <c r="C512" s="61"/>
      <c r="D512" s="61"/>
    </row>
    <row r="513" ht="28.5" customHeight="1">
      <c r="B513" s="140"/>
      <c r="C513" s="61"/>
      <c r="D513" s="61"/>
    </row>
    <row r="514" ht="28.5" customHeight="1">
      <c r="B514" s="140"/>
      <c r="C514" s="61"/>
      <c r="D514" s="61"/>
    </row>
    <row r="515" ht="28.5" customHeight="1">
      <c r="B515" s="140"/>
      <c r="C515" s="61"/>
      <c r="D515" s="61"/>
    </row>
    <row r="516" ht="28.5" customHeight="1">
      <c r="B516" s="140"/>
      <c r="C516" s="61"/>
      <c r="D516" s="61"/>
    </row>
    <row r="517" ht="28.5" customHeight="1">
      <c r="B517" s="140"/>
      <c r="C517" s="61"/>
      <c r="D517" s="61"/>
    </row>
    <row r="518" ht="28.5" customHeight="1">
      <c r="B518" s="140"/>
      <c r="C518" s="61"/>
      <c r="D518" s="61"/>
    </row>
    <row r="519" ht="28.5" customHeight="1">
      <c r="B519" s="140"/>
      <c r="C519" s="61"/>
      <c r="D519" s="61"/>
    </row>
    <row r="520" ht="28.5" customHeight="1">
      <c r="B520" s="140"/>
      <c r="C520" s="61"/>
      <c r="D520" s="61"/>
    </row>
    <row r="521" ht="28.5" customHeight="1">
      <c r="B521" s="140"/>
      <c r="C521" s="61"/>
      <c r="D521" s="61"/>
    </row>
    <row r="522" ht="28.5" customHeight="1">
      <c r="B522" s="140"/>
      <c r="C522" s="61"/>
      <c r="D522" s="61"/>
    </row>
    <row r="523" ht="28.5" customHeight="1">
      <c r="B523" s="140"/>
      <c r="C523" s="61"/>
      <c r="D523" s="61"/>
    </row>
    <row r="524" ht="28.5" customHeight="1">
      <c r="B524" s="140"/>
      <c r="C524" s="61"/>
      <c r="D524" s="61"/>
    </row>
    <row r="525" ht="28.5" customHeight="1">
      <c r="B525" s="140"/>
      <c r="C525" s="61"/>
      <c r="D525" s="61"/>
    </row>
    <row r="526" ht="28.5" customHeight="1">
      <c r="B526" s="140"/>
      <c r="C526" s="61"/>
      <c r="D526" s="61"/>
    </row>
    <row r="527" ht="28.5" customHeight="1">
      <c r="B527" s="140"/>
      <c r="C527" s="61"/>
      <c r="D527" s="61"/>
    </row>
    <row r="528" ht="28.5" customHeight="1">
      <c r="B528" s="140"/>
      <c r="C528" s="61"/>
      <c r="D528" s="61"/>
    </row>
    <row r="529" ht="28.5" customHeight="1">
      <c r="B529" s="140"/>
      <c r="C529" s="61"/>
      <c r="D529" s="61"/>
    </row>
    <row r="530" ht="28.5" customHeight="1">
      <c r="B530" s="140"/>
      <c r="C530" s="61"/>
      <c r="D530" s="61"/>
    </row>
    <row r="531" ht="28.5" customHeight="1">
      <c r="B531" s="140"/>
      <c r="C531" s="61"/>
      <c r="D531" s="61"/>
    </row>
    <row r="532" ht="28.5" customHeight="1">
      <c r="B532" s="140"/>
      <c r="C532" s="61"/>
      <c r="D532" s="61"/>
    </row>
    <row r="533" ht="28.5" customHeight="1">
      <c r="B533" s="140"/>
      <c r="C533" s="61"/>
      <c r="D533" s="61"/>
    </row>
    <row r="534" ht="28.5" customHeight="1">
      <c r="B534" s="140"/>
      <c r="C534" s="61"/>
      <c r="D534" s="61"/>
    </row>
    <row r="535" ht="28.5" customHeight="1">
      <c r="B535" s="140"/>
      <c r="C535" s="61"/>
      <c r="D535" s="61"/>
    </row>
    <row r="536" ht="28.5" customHeight="1">
      <c r="B536" s="140"/>
      <c r="C536" s="61"/>
      <c r="D536" s="61"/>
    </row>
    <row r="537" ht="28.5" customHeight="1">
      <c r="B537" s="140"/>
      <c r="C537" s="61"/>
      <c r="D537" s="61"/>
    </row>
    <row r="538" ht="28.5" customHeight="1">
      <c r="B538" s="140"/>
      <c r="C538" s="61"/>
      <c r="D538" s="61"/>
    </row>
    <row r="539" ht="28.5" customHeight="1">
      <c r="B539" s="140"/>
      <c r="C539" s="61"/>
      <c r="D539" s="61"/>
    </row>
    <row r="540" ht="28.5" customHeight="1">
      <c r="B540" s="140"/>
      <c r="C540" s="61"/>
      <c r="D540" s="61"/>
    </row>
    <row r="541" ht="28.5" customHeight="1">
      <c r="B541" s="140"/>
      <c r="C541" s="61"/>
      <c r="D541" s="61"/>
    </row>
    <row r="542" ht="28.5" customHeight="1">
      <c r="B542" s="140"/>
      <c r="C542" s="61"/>
      <c r="D542" s="61"/>
    </row>
    <row r="543" ht="28.5" customHeight="1">
      <c r="B543" s="140"/>
      <c r="C543" s="61"/>
      <c r="D543" s="61"/>
    </row>
    <row r="544" ht="28.5" customHeight="1">
      <c r="B544" s="140"/>
      <c r="C544" s="61"/>
      <c r="D544" s="61"/>
    </row>
    <row r="545" ht="28.5" customHeight="1">
      <c r="B545" s="140"/>
      <c r="C545" s="61"/>
      <c r="D545" s="61"/>
    </row>
    <row r="546" ht="28.5" customHeight="1">
      <c r="B546" s="140"/>
      <c r="C546" s="61"/>
      <c r="D546" s="61"/>
    </row>
    <row r="547" ht="28.5" customHeight="1">
      <c r="B547" s="140"/>
      <c r="C547" s="61"/>
      <c r="D547" s="61"/>
    </row>
    <row r="548" ht="28.5" customHeight="1">
      <c r="B548" s="140"/>
      <c r="C548" s="61"/>
      <c r="D548" s="61"/>
    </row>
    <row r="549" ht="28.5" customHeight="1">
      <c r="B549" s="140"/>
      <c r="C549" s="61"/>
      <c r="D549" s="61"/>
    </row>
    <row r="550" ht="28.5" customHeight="1">
      <c r="B550" s="140"/>
      <c r="C550" s="61"/>
      <c r="D550" s="61"/>
    </row>
    <row r="551" ht="28.5" customHeight="1">
      <c r="B551" s="140"/>
      <c r="C551" s="61"/>
      <c r="D551" s="61"/>
    </row>
    <row r="552" ht="28.5" customHeight="1">
      <c r="B552" s="140"/>
      <c r="C552" s="61"/>
      <c r="D552" s="61"/>
    </row>
    <row r="553" ht="28.5" customHeight="1">
      <c r="B553" s="140"/>
      <c r="C553" s="61"/>
      <c r="D553" s="61"/>
    </row>
    <row r="554" ht="28.5" customHeight="1">
      <c r="B554" s="140"/>
      <c r="C554" s="61"/>
      <c r="D554" s="61"/>
    </row>
    <row r="555" ht="28.5" customHeight="1">
      <c r="B555" s="140"/>
      <c r="C555" s="61"/>
      <c r="D555" s="61"/>
    </row>
    <row r="556" ht="28.5" customHeight="1">
      <c r="B556" s="140"/>
      <c r="C556" s="61"/>
      <c r="D556" s="61"/>
    </row>
    <row r="557" ht="28.5" customHeight="1">
      <c r="B557" s="140"/>
      <c r="C557" s="61"/>
      <c r="D557" s="61"/>
    </row>
    <row r="558" ht="28.5" customHeight="1">
      <c r="B558" s="140"/>
      <c r="C558" s="61"/>
      <c r="D558" s="61"/>
    </row>
    <row r="559" ht="28.5" customHeight="1">
      <c r="B559" s="140"/>
      <c r="C559" s="61"/>
      <c r="D559" s="61"/>
    </row>
    <row r="560" ht="28.5" customHeight="1">
      <c r="B560" s="140"/>
      <c r="C560" s="61"/>
      <c r="D560" s="61"/>
    </row>
    <row r="561" ht="28.5" customHeight="1">
      <c r="B561" s="140"/>
      <c r="C561" s="61"/>
      <c r="D561" s="61"/>
    </row>
    <row r="562" ht="28.5" customHeight="1">
      <c r="B562" s="140"/>
      <c r="C562" s="61"/>
      <c r="D562" s="61"/>
    </row>
    <row r="563" ht="28.5" customHeight="1">
      <c r="B563" s="140"/>
      <c r="C563" s="61"/>
      <c r="D563" s="61"/>
    </row>
    <row r="564" ht="28.5" customHeight="1">
      <c r="B564" s="140"/>
      <c r="C564" s="61"/>
      <c r="D564" s="61"/>
    </row>
    <row r="565" ht="28.5" customHeight="1">
      <c r="B565" s="140"/>
      <c r="C565" s="61"/>
      <c r="D565" s="61"/>
    </row>
    <row r="566" ht="28.5" customHeight="1">
      <c r="B566" s="140"/>
      <c r="C566" s="61"/>
      <c r="D566" s="61"/>
    </row>
    <row r="567" ht="28.5" customHeight="1">
      <c r="B567" s="140"/>
      <c r="C567" s="61"/>
      <c r="D567" s="61"/>
    </row>
    <row r="568" ht="28.5" customHeight="1">
      <c r="B568" s="140"/>
      <c r="C568" s="61"/>
      <c r="D568" s="61"/>
    </row>
    <row r="569" ht="28.5" customHeight="1">
      <c r="B569" s="140"/>
      <c r="C569" s="61"/>
      <c r="D569" s="61"/>
    </row>
    <row r="570" ht="28.5" customHeight="1">
      <c r="B570" s="140"/>
      <c r="C570" s="61"/>
      <c r="D570" s="61"/>
    </row>
    <row r="571" ht="28.5" customHeight="1">
      <c r="B571" s="140"/>
      <c r="C571" s="61"/>
      <c r="D571" s="61"/>
    </row>
    <row r="572" ht="28.5" customHeight="1">
      <c r="B572" s="140"/>
      <c r="C572" s="61"/>
      <c r="D572" s="61"/>
    </row>
    <row r="573" ht="28.5" customHeight="1">
      <c r="B573" s="140"/>
      <c r="C573" s="61"/>
      <c r="D573" s="61"/>
    </row>
    <row r="574" ht="28.5" customHeight="1">
      <c r="B574" s="140"/>
      <c r="C574" s="61"/>
      <c r="D574" s="61"/>
    </row>
    <row r="575" ht="28.5" customHeight="1">
      <c r="B575" s="140"/>
      <c r="C575" s="61"/>
      <c r="D575" s="61"/>
    </row>
    <row r="576" ht="28.5" customHeight="1">
      <c r="B576" s="140"/>
      <c r="C576" s="61"/>
      <c r="D576" s="61"/>
    </row>
    <row r="577" ht="28.5" customHeight="1">
      <c r="B577" s="140"/>
      <c r="C577" s="61"/>
      <c r="D577" s="61"/>
    </row>
    <row r="578" ht="28.5" customHeight="1">
      <c r="B578" s="140"/>
      <c r="C578" s="61"/>
      <c r="D578" s="61"/>
    </row>
    <row r="579" ht="28.5" customHeight="1">
      <c r="B579" s="140"/>
      <c r="C579" s="61"/>
      <c r="D579" s="61"/>
    </row>
    <row r="580" ht="28.5" customHeight="1">
      <c r="B580" s="140"/>
      <c r="C580" s="61"/>
      <c r="D580" s="61"/>
    </row>
    <row r="581" ht="28.5" customHeight="1">
      <c r="B581" s="140"/>
      <c r="C581" s="61"/>
      <c r="D581" s="61"/>
    </row>
    <row r="582" ht="28.5" customHeight="1">
      <c r="B582" s="140"/>
      <c r="C582" s="61"/>
      <c r="D582" s="61"/>
    </row>
    <row r="583" ht="28.5" customHeight="1">
      <c r="B583" s="140"/>
      <c r="C583" s="61"/>
      <c r="D583" s="61"/>
    </row>
    <row r="584" ht="28.5" customHeight="1">
      <c r="B584" s="140"/>
      <c r="C584" s="61"/>
      <c r="D584" s="61"/>
    </row>
    <row r="585" ht="28.5" customHeight="1">
      <c r="B585" s="140"/>
      <c r="C585" s="61"/>
      <c r="D585" s="61"/>
    </row>
    <row r="586" ht="28.5" customHeight="1">
      <c r="B586" s="140"/>
      <c r="C586" s="61"/>
      <c r="D586" s="61"/>
    </row>
    <row r="587" ht="28.5" customHeight="1">
      <c r="B587" s="140"/>
      <c r="C587" s="61"/>
      <c r="D587" s="61"/>
    </row>
    <row r="588" ht="28.5" customHeight="1">
      <c r="B588" s="140"/>
      <c r="C588" s="61"/>
      <c r="D588" s="61"/>
    </row>
    <row r="589" ht="28.5" customHeight="1">
      <c r="B589" s="140"/>
      <c r="C589" s="61"/>
      <c r="D589" s="61"/>
    </row>
    <row r="590" ht="28.5" customHeight="1">
      <c r="B590" s="140"/>
      <c r="C590" s="61"/>
      <c r="D590" s="61"/>
    </row>
    <row r="591" ht="28.5" customHeight="1">
      <c r="B591" s="140"/>
      <c r="C591" s="61"/>
      <c r="D591" s="61"/>
    </row>
    <row r="592" ht="28.5" customHeight="1">
      <c r="B592" s="140"/>
      <c r="C592" s="61"/>
      <c r="D592" s="61"/>
    </row>
    <row r="593" ht="28.5" customHeight="1">
      <c r="B593" s="140"/>
      <c r="C593" s="61"/>
      <c r="D593" s="61"/>
    </row>
    <row r="594" ht="28.5" customHeight="1">
      <c r="B594" s="140"/>
      <c r="C594" s="61"/>
      <c r="D594" s="61"/>
    </row>
    <row r="595" ht="28.5" customHeight="1">
      <c r="B595" s="140"/>
      <c r="C595" s="61"/>
      <c r="D595" s="61"/>
    </row>
    <row r="596" ht="28.5" customHeight="1">
      <c r="B596" s="140"/>
      <c r="C596" s="61"/>
      <c r="D596" s="61"/>
    </row>
    <row r="597" ht="28.5" customHeight="1">
      <c r="B597" s="140"/>
      <c r="C597" s="61"/>
      <c r="D597" s="61"/>
    </row>
    <row r="598" ht="28.5" customHeight="1">
      <c r="B598" s="140"/>
      <c r="C598" s="61"/>
      <c r="D598" s="61"/>
    </row>
    <row r="599" ht="28.5" customHeight="1">
      <c r="B599" s="140"/>
      <c r="C599" s="61"/>
      <c r="D599" s="61"/>
    </row>
    <row r="600" ht="28.5" customHeight="1">
      <c r="B600" s="140"/>
      <c r="C600" s="61"/>
      <c r="D600" s="61"/>
    </row>
    <row r="601" ht="28.5" customHeight="1">
      <c r="B601" s="140"/>
      <c r="C601" s="61"/>
      <c r="D601" s="61"/>
    </row>
    <row r="602" ht="28.5" customHeight="1">
      <c r="B602" s="140"/>
      <c r="C602" s="61"/>
      <c r="D602" s="61"/>
    </row>
    <row r="603" ht="28.5" customHeight="1">
      <c r="B603" s="140"/>
      <c r="C603" s="61"/>
      <c r="D603" s="61"/>
    </row>
    <row r="604" ht="28.5" customHeight="1">
      <c r="B604" s="140"/>
      <c r="C604" s="61"/>
      <c r="D604" s="61"/>
    </row>
    <row r="605" ht="28.5" customHeight="1">
      <c r="B605" s="140"/>
      <c r="C605" s="61"/>
      <c r="D605" s="61"/>
    </row>
    <row r="606" ht="28.5" customHeight="1">
      <c r="B606" s="140"/>
      <c r="C606" s="61"/>
      <c r="D606" s="61"/>
    </row>
    <row r="607" ht="28.5" customHeight="1">
      <c r="B607" s="140"/>
      <c r="C607" s="61"/>
      <c r="D607" s="61"/>
    </row>
    <row r="608" ht="28.5" customHeight="1">
      <c r="B608" s="140"/>
      <c r="C608" s="61"/>
      <c r="D608" s="61"/>
    </row>
    <row r="609" ht="28.5" customHeight="1">
      <c r="B609" s="140"/>
      <c r="C609" s="61"/>
      <c r="D609" s="61"/>
    </row>
    <row r="610" ht="28.5" customHeight="1">
      <c r="B610" s="140"/>
      <c r="C610" s="61"/>
      <c r="D610" s="61"/>
    </row>
    <row r="611" ht="28.5" customHeight="1">
      <c r="B611" s="140"/>
      <c r="C611" s="61"/>
      <c r="D611" s="61"/>
    </row>
    <row r="612" ht="28.5" customHeight="1">
      <c r="B612" s="140"/>
      <c r="C612" s="61"/>
      <c r="D612" s="61"/>
    </row>
    <row r="613" ht="28.5" customHeight="1">
      <c r="B613" s="140"/>
      <c r="C613" s="61"/>
      <c r="D613" s="61"/>
    </row>
    <row r="614" ht="28.5" customHeight="1">
      <c r="B614" s="140"/>
      <c r="C614" s="61"/>
      <c r="D614" s="61"/>
    </row>
    <row r="615" ht="28.5" customHeight="1">
      <c r="B615" s="140"/>
      <c r="C615" s="61"/>
      <c r="D615" s="61"/>
    </row>
    <row r="616" ht="28.5" customHeight="1">
      <c r="B616" s="140"/>
      <c r="C616" s="61"/>
      <c r="D616" s="61"/>
    </row>
    <row r="617" ht="28.5" customHeight="1">
      <c r="B617" s="140"/>
      <c r="C617" s="61"/>
      <c r="D617" s="61"/>
    </row>
    <row r="618" ht="28.5" customHeight="1">
      <c r="B618" s="140"/>
      <c r="C618" s="61"/>
      <c r="D618" s="61"/>
    </row>
    <row r="619" ht="28.5" customHeight="1">
      <c r="B619" s="140"/>
      <c r="C619" s="61"/>
      <c r="D619" s="61"/>
    </row>
    <row r="620" ht="28.5" customHeight="1">
      <c r="B620" s="140"/>
      <c r="C620" s="61"/>
      <c r="D620" s="61"/>
    </row>
    <row r="621" ht="28.5" customHeight="1">
      <c r="B621" s="140"/>
      <c r="C621" s="61"/>
      <c r="D621" s="61"/>
    </row>
    <row r="622" ht="28.5" customHeight="1">
      <c r="B622" s="140"/>
      <c r="C622" s="61"/>
      <c r="D622" s="61"/>
    </row>
    <row r="623" ht="28.5" customHeight="1">
      <c r="B623" s="140"/>
      <c r="C623" s="61"/>
      <c r="D623" s="61"/>
    </row>
    <row r="624" ht="28.5" customHeight="1">
      <c r="B624" s="140"/>
      <c r="C624" s="61"/>
      <c r="D624" s="61"/>
    </row>
    <row r="625" ht="28.5" customHeight="1">
      <c r="B625" s="140"/>
      <c r="C625" s="61"/>
      <c r="D625" s="61"/>
    </row>
    <row r="626" ht="28.5" customHeight="1">
      <c r="B626" s="140"/>
      <c r="C626" s="61"/>
      <c r="D626" s="61"/>
    </row>
    <row r="627" ht="28.5" customHeight="1">
      <c r="B627" s="140"/>
      <c r="C627" s="61"/>
      <c r="D627" s="61"/>
    </row>
    <row r="628" ht="28.5" customHeight="1">
      <c r="B628" s="140"/>
      <c r="C628" s="61"/>
      <c r="D628" s="61"/>
    </row>
    <row r="629" ht="28.5" customHeight="1">
      <c r="B629" s="140"/>
      <c r="C629" s="61"/>
      <c r="D629" s="61"/>
    </row>
    <row r="630" ht="28.5" customHeight="1">
      <c r="B630" s="140"/>
      <c r="C630" s="61"/>
      <c r="D630" s="61"/>
    </row>
    <row r="631" ht="28.5" customHeight="1">
      <c r="B631" s="140"/>
      <c r="C631" s="61"/>
      <c r="D631" s="61"/>
    </row>
    <row r="632" ht="28.5" customHeight="1">
      <c r="B632" s="140"/>
      <c r="C632" s="61"/>
      <c r="D632" s="61"/>
    </row>
    <row r="633" ht="28.5" customHeight="1">
      <c r="B633" s="140"/>
      <c r="C633" s="61"/>
      <c r="D633" s="61"/>
    </row>
    <row r="634" ht="28.5" customHeight="1">
      <c r="B634" s="140"/>
      <c r="C634" s="61"/>
      <c r="D634" s="61"/>
    </row>
    <row r="635" ht="28.5" customHeight="1">
      <c r="B635" s="140"/>
      <c r="C635" s="61"/>
      <c r="D635" s="61"/>
    </row>
    <row r="636" ht="28.5" customHeight="1">
      <c r="B636" s="140"/>
      <c r="C636" s="61"/>
      <c r="D636" s="61"/>
    </row>
    <row r="637" ht="28.5" customHeight="1">
      <c r="B637" s="140"/>
      <c r="C637" s="61"/>
      <c r="D637" s="61"/>
    </row>
    <row r="638" ht="28.5" customHeight="1">
      <c r="B638" s="140"/>
      <c r="C638" s="61"/>
      <c r="D638" s="61"/>
    </row>
    <row r="639" ht="28.5" customHeight="1">
      <c r="B639" s="140"/>
      <c r="C639" s="61"/>
      <c r="D639" s="61"/>
    </row>
    <row r="640" ht="28.5" customHeight="1">
      <c r="B640" s="140"/>
      <c r="C640" s="61"/>
      <c r="D640" s="61"/>
    </row>
    <row r="641" ht="28.5" customHeight="1">
      <c r="B641" s="140"/>
      <c r="C641" s="61"/>
      <c r="D641" s="61"/>
    </row>
    <row r="642" ht="28.5" customHeight="1">
      <c r="B642" s="140"/>
      <c r="C642" s="61"/>
      <c r="D642" s="61"/>
    </row>
    <row r="643" ht="28.5" customHeight="1">
      <c r="B643" s="140"/>
      <c r="C643" s="61"/>
      <c r="D643" s="61"/>
    </row>
    <row r="644" ht="28.5" customHeight="1">
      <c r="B644" s="140"/>
      <c r="C644" s="61"/>
      <c r="D644" s="61"/>
    </row>
    <row r="645" ht="28.5" customHeight="1">
      <c r="B645" s="140"/>
      <c r="C645" s="61"/>
      <c r="D645" s="61"/>
    </row>
    <row r="646" ht="28.5" customHeight="1">
      <c r="B646" s="140"/>
      <c r="C646" s="61"/>
      <c r="D646" s="61"/>
    </row>
    <row r="647" ht="28.5" customHeight="1">
      <c r="B647" s="140"/>
      <c r="C647" s="61"/>
      <c r="D647" s="61"/>
    </row>
    <row r="648" ht="28.5" customHeight="1">
      <c r="B648" s="140"/>
      <c r="C648" s="61"/>
      <c r="D648" s="61"/>
    </row>
    <row r="649" ht="28.5" customHeight="1">
      <c r="B649" s="140"/>
      <c r="C649" s="61"/>
      <c r="D649" s="61"/>
    </row>
    <row r="650" ht="28.5" customHeight="1">
      <c r="B650" s="140"/>
      <c r="C650" s="61"/>
      <c r="D650" s="61"/>
    </row>
    <row r="651" ht="28.5" customHeight="1">
      <c r="B651" s="140"/>
      <c r="C651" s="61"/>
      <c r="D651" s="61"/>
    </row>
    <row r="652" ht="28.5" customHeight="1">
      <c r="B652" s="140"/>
      <c r="C652" s="61"/>
      <c r="D652" s="61"/>
    </row>
    <row r="653" ht="28.5" customHeight="1">
      <c r="B653" s="140"/>
      <c r="C653" s="61"/>
      <c r="D653" s="61"/>
    </row>
    <row r="654" ht="28.5" customHeight="1">
      <c r="B654" s="140"/>
      <c r="C654" s="61"/>
      <c r="D654" s="61"/>
    </row>
    <row r="655" ht="28.5" customHeight="1">
      <c r="B655" s="140"/>
      <c r="C655" s="61"/>
      <c r="D655" s="61"/>
    </row>
    <row r="656" ht="28.5" customHeight="1">
      <c r="B656" s="140"/>
      <c r="C656" s="61"/>
      <c r="D656" s="61"/>
    </row>
    <row r="657" ht="28.5" customHeight="1">
      <c r="B657" s="140"/>
      <c r="C657" s="61"/>
      <c r="D657" s="61"/>
    </row>
    <row r="658" ht="28.5" customHeight="1">
      <c r="B658" s="140"/>
      <c r="C658" s="61"/>
      <c r="D658" s="61"/>
    </row>
    <row r="659" ht="28.5" customHeight="1">
      <c r="B659" s="140"/>
      <c r="C659" s="61"/>
      <c r="D659" s="61"/>
    </row>
    <row r="660" ht="28.5" customHeight="1">
      <c r="B660" s="140"/>
      <c r="C660" s="61"/>
      <c r="D660" s="61"/>
    </row>
    <row r="661" ht="28.5" customHeight="1">
      <c r="B661" s="140"/>
      <c r="C661" s="61"/>
      <c r="D661" s="61"/>
    </row>
    <row r="662" ht="28.5" customHeight="1">
      <c r="B662" s="140"/>
      <c r="C662" s="61"/>
      <c r="D662" s="61"/>
    </row>
    <row r="663" ht="28.5" customHeight="1">
      <c r="B663" s="140"/>
      <c r="C663" s="61"/>
      <c r="D663" s="61"/>
    </row>
    <row r="664" ht="28.5" customHeight="1">
      <c r="B664" s="140"/>
      <c r="C664" s="61"/>
      <c r="D664" s="61"/>
    </row>
    <row r="665" ht="28.5" customHeight="1">
      <c r="B665" s="140"/>
      <c r="C665" s="61"/>
      <c r="D665" s="61"/>
    </row>
    <row r="666" ht="28.5" customHeight="1">
      <c r="B666" s="140"/>
      <c r="C666" s="61"/>
      <c r="D666" s="61"/>
    </row>
    <row r="667" ht="28.5" customHeight="1">
      <c r="B667" s="140"/>
      <c r="C667" s="61"/>
      <c r="D667" s="61"/>
    </row>
    <row r="668" ht="28.5" customHeight="1">
      <c r="B668" s="140"/>
      <c r="C668" s="61"/>
      <c r="D668" s="61"/>
    </row>
    <row r="669" ht="28.5" customHeight="1">
      <c r="B669" s="140"/>
      <c r="C669" s="61"/>
      <c r="D669" s="61"/>
    </row>
    <row r="670" ht="28.5" customHeight="1">
      <c r="B670" s="140"/>
      <c r="C670" s="61"/>
      <c r="D670" s="61"/>
    </row>
    <row r="671" ht="28.5" customHeight="1">
      <c r="B671" s="140"/>
      <c r="C671" s="61"/>
      <c r="D671" s="61"/>
    </row>
    <row r="672" ht="28.5" customHeight="1">
      <c r="B672" s="140"/>
      <c r="C672" s="61"/>
      <c r="D672" s="61"/>
    </row>
    <row r="673" ht="28.5" customHeight="1">
      <c r="B673" s="140"/>
      <c r="C673" s="61"/>
      <c r="D673" s="61"/>
    </row>
    <row r="674" ht="28.5" customHeight="1">
      <c r="B674" s="140"/>
      <c r="C674" s="61"/>
      <c r="D674" s="61"/>
    </row>
    <row r="675" ht="28.5" customHeight="1">
      <c r="B675" s="140"/>
      <c r="C675" s="61"/>
      <c r="D675" s="61"/>
    </row>
    <row r="676" ht="28.5" customHeight="1">
      <c r="B676" s="140"/>
      <c r="C676" s="61"/>
      <c r="D676" s="61"/>
    </row>
    <row r="677" ht="28.5" customHeight="1">
      <c r="B677" s="140"/>
      <c r="C677" s="61"/>
      <c r="D677" s="61"/>
    </row>
    <row r="678" ht="28.5" customHeight="1">
      <c r="B678" s="140"/>
      <c r="C678" s="61"/>
      <c r="D678" s="61"/>
    </row>
    <row r="679" ht="28.5" customHeight="1">
      <c r="B679" s="140"/>
      <c r="C679" s="61"/>
      <c r="D679" s="61"/>
    </row>
    <row r="680" ht="28.5" customHeight="1">
      <c r="B680" s="140"/>
      <c r="C680" s="61"/>
      <c r="D680" s="61"/>
    </row>
    <row r="681" ht="28.5" customHeight="1">
      <c r="B681" s="140"/>
      <c r="C681" s="61"/>
      <c r="D681" s="61"/>
    </row>
    <row r="682" ht="28.5" customHeight="1">
      <c r="B682" s="140"/>
      <c r="C682" s="61"/>
      <c r="D682" s="61"/>
    </row>
    <row r="683" ht="28.5" customHeight="1">
      <c r="B683" s="140"/>
      <c r="C683" s="61"/>
      <c r="D683" s="61"/>
    </row>
    <row r="684" ht="28.5" customHeight="1">
      <c r="B684" s="140"/>
      <c r="C684" s="61"/>
      <c r="D684" s="61"/>
    </row>
    <row r="685" ht="28.5" customHeight="1">
      <c r="B685" s="140"/>
      <c r="C685" s="61"/>
      <c r="D685" s="61"/>
    </row>
    <row r="686" ht="28.5" customHeight="1">
      <c r="B686" s="140"/>
      <c r="C686" s="61"/>
      <c r="D686" s="61"/>
    </row>
    <row r="687" ht="28.5" customHeight="1">
      <c r="B687" s="140"/>
      <c r="C687" s="61"/>
      <c r="D687" s="61"/>
    </row>
    <row r="688" ht="28.5" customHeight="1">
      <c r="B688" s="140"/>
      <c r="C688" s="61"/>
      <c r="D688" s="61"/>
    </row>
    <row r="689" ht="28.5" customHeight="1">
      <c r="B689" s="140"/>
      <c r="C689" s="61"/>
      <c r="D689" s="61"/>
    </row>
    <row r="690" ht="28.5" customHeight="1">
      <c r="B690" s="140"/>
      <c r="C690" s="61"/>
      <c r="D690" s="61"/>
    </row>
    <row r="691" ht="28.5" customHeight="1">
      <c r="B691" s="140"/>
      <c r="C691" s="61"/>
      <c r="D691" s="61"/>
    </row>
    <row r="692" ht="28.5" customHeight="1">
      <c r="B692" s="140"/>
      <c r="C692" s="61"/>
      <c r="D692" s="61"/>
    </row>
    <row r="693" ht="28.5" customHeight="1">
      <c r="B693" s="140"/>
      <c r="C693" s="61"/>
      <c r="D693" s="61"/>
    </row>
    <row r="694" ht="28.5" customHeight="1">
      <c r="B694" s="140"/>
      <c r="C694" s="61"/>
      <c r="D694" s="61"/>
    </row>
    <row r="695" ht="28.5" customHeight="1">
      <c r="B695" s="140"/>
      <c r="C695" s="61"/>
      <c r="D695" s="61"/>
    </row>
    <row r="696" ht="28.5" customHeight="1">
      <c r="B696" s="140"/>
      <c r="C696" s="61"/>
      <c r="D696" s="61"/>
    </row>
    <row r="697" ht="28.5" customHeight="1">
      <c r="B697" s="140"/>
      <c r="C697" s="61"/>
      <c r="D697" s="61"/>
    </row>
    <row r="698" ht="28.5" customHeight="1">
      <c r="B698" s="140"/>
      <c r="C698" s="61"/>
      <c r="D698" s="61"/>
    </row>
    <row r="699" ht="28.5" customHeight="1">
      <c r="B699" s="140"/>
      <c r="C699" s="61"/>
      <c r="D699" s="61"/>
    </row>
    <row r="700" ht="28.5" customHeight="1">
      <c r="B700" s="140"/>
      <c r="C700" s="61"/>
      <c r="D700" s="61"/>
    </row>
    <row r="701" ht="28.5" customHeight="1">
      <c r="B701" s="140"/>
      <c r="C701" s="61"/>
      <c r="D701" s="61"/>
    </row>
    <row r="702" ht="28.5" customHeight="1">
      <c r="B702" s="140"/>
      <c r="C702" s="61"/>
      <c r="D702" s="61"/>
    </row>
    <row r="703" ht="28.5" customHeight="1">
      <c r="B703" s="140"/>
      <c r="C703" s="61"/>
      <c r="D703" s="61"/>
    </row>
    <row r="704" ht="28.5" customHeight="1">
      <c r="B704" s="140"/>
      <c r="C704" s="61"/>
      <c r="D704" s="61"/>
    </row>
    <row r="705" ht="28.5" customHeight="1">
      <c r="B705" s="140"/>
      <c r="C705" s="61"/>
      <c r="D705" s="61"/>
    </row>
    <row r="706" ht="28.5" customHeight="1">
      <c r="B706" s="140"/>
      <c r="C706" s="61"/>
      <c r="D706" s="61"/>
    </row>
    <row r="707" ht="28.5" customHeight="1">
      <c r="B707" s="140"/>
      <c r="C707" s="61"/>
      <c r="D707" s="61"/>
    </row>
    <row r="708" ht="28.5" customHeight="1">
      <c r="B708" s="140"/>
      <c r="C708" s="61"/>
      <c r="D708" s="61"/>
    </row>
    <row r="709" ht="28.5" customHeight="1">
      <c r="B709" s="140"/>
      <c r="C709" s="61"/>
      <c r="D709" s="61"/>
    </row>
    <row r="710" ht="28.5" customHeight="1">
      <c r="B710" s="140"/>
      <c r="C710" s="61"/>
      <c r="D710" s="61"/>
    </row>
    <row r="711" ht="28.5" customHeight="1">
      <c r="B711" s="140"/>
      <c r="C711" s="61"/>
      <c r="D711" s="61"/>
    </row>
    <row r="712" ht="28.5" customHeight="1">
      <c r="B712" s="140"/>
      <c r="C712" s="61"/>
      <c r="D712" s="61"/>
    </row>
    <row r="713" ht="28.5" customHeight="1">
      <c r="B713" s="140"/>
      <c r="C713" s="61"/>
      <c r="D713" s="61"/>
    </row>
    <row r="714" ht="28.5" customHeight="1">
      <c r="B714" s="140"/>
      <c r="C714" s="61"/>
      <c r="D714" s="61"/>
    </row>
    <row r="715" ht="28.5" customHeight="1">
      <c r="B715" s="140"/>
      <c r="C715" s="61"/>
      <c r="D715" s="61"/>
    </row>
    <row r="716" ht="28.5" customHeight="1">
      <c r="B716" s="140"/>
      <c r="C716" s="61"/>
      <c r="D716" s="61"/>
    </row>
    <row r="717" ht="28.5" customHeight="1">
      <c r="B717" s="140"/>
      <c r="C717" s="61"/>
      <c r="D717" s="61"/>
    </row>
    <row r="718" ht="28.5" customHeight="1">
      <c r="B718" s="140"/>
      <c r="C718" s="61"/>
      <c r="D718" s="61"/>
    </row>
    <row r="719" ht="28.5" customHeight="1">
      <c r="B719" s="140"/>
      <c r="C719" s="61"/>
      <c r="D719" s="61"/>
    </row>
    <row r="720" ht="28.5" customHeight="1">
      <c r="B720" s="140"/>
      <c r="C720" s="61"/>
      <c r="D720" s="61"/>
    </row>
    <row r="721" ht="28.5" customHeight="1">
      <c r="B721" s="140"/>
      <c r="C721" s="61"/>
      <c r="D721" s="61"/>
    </row>
    <row r="722" ht="28.5" customHeight="1">
      <c r="B722" s="140"/>
      <c r="C722" s="61"/>
      <c r="D722" s="61"/>
    </row>
    <row r="723" ht="28.5" customHeight="1">
      <c r="B723" s="140"/>
      <c r="C723" s="61"/>
      <c r="D723" s="61"/>
    </row>
    <row r="724" ht="28.5" customHeight="1">
      <c r="B724" s="140"/>
      <c r="C724" s="61"/>
      <c r="D724" s="61"/>
    </row>
    <row r="725" ht="28.5" customHeight="1">
      <c r="B725" s="140"/>
      <c r="C725" s="61"/>
      <c r="D725" s="61"/>
    </row>
    <row r="726" ht="28.5" customHeight="1">
      <c r="B726" s="140"/>
      <c r="C726" s="61"/>
      <c r="D726" s="61"/>
    </row>
    <row r="727" ht="28.5" customHeight="1">
      <c r="B727" s="140"/>
      <c r="C727" s="61"/>
      <c r="D727" s="61"/>
    </row>
    <row r="728" ht="28.5" customHeight="1">
      <c r="B728" s="140"/>
      <c r="C728" s="61"/>
      <c r="D728" s="61"/>
    </row>
    <row r="729" ht="28.5" customHeight="1">
      <c r="B729" s="140"/>
      <c r="C729" s="61"/>
      <c r="D729" s="61"/>
    </row>
    <row r="730" ht="28.5" customHeight="1">
      <c r="B730" s="140"/>
      <c r="C730" s="61"/>
      <c r="D730" s="61"/>
    </row>
    <row r="731" ht="28.5" customHeight="1">
      <c r="B731" s="140"/>
      <c r="C731" s="61"/>
      <c r="D731" s="61"/>
    </row>
    <row r="732" ht="28.5" customHeight="1">
      <c r="B732" s="140"/>
      <c r="C732" s="61"/>
      <c r="D732" s="61"/>
    </row>
    <row r="733" ht="28.5" customHeight="1">
      <c r="B733" s="140"/>
      <c r="C733" s="61"/>
      <c r="D733" s="61"/>
    </row>
    <row r="734" ht="28.5" customHeight="1">
      <c r="B734" s="140"/>
      <c r="C734" s="61"/>
      <c r="D734" s="61"/>
    </row>
    <row r="735" ht="28.5" customHeight="1">
      <c r="B735" s="140"/>
      <c r="C735" s="61"/>
      <c r="D735" s="61"/>
    </row>
    <row r="736" ht="28.5" customHeight="1">
      <c r="B736" s="140"/>
      <c r="C736" s="61"/>
      <c r="D736" s="61"/>
    </row>
    <row r="737" ht="28.5" customHeight="1">
      <c r="B737" s="140"/>
      <c r="C737" s="61"/>
      <c r="D737" s="61"/>
    </row>
    <row r="738" ht="28.5" customHeight="1">
      <c r="B738" s="140"/>
      <c r="C738" s="61"/>
      <c r="D738" s="61"/>
    </row>
    <row r="739" ht="28.5" customHeight="1">
      <c r="B739" s="140"/>
      <c r="C739" s="61"/>
      <c r="D739" s="61"/>
    </row>
    <row r="740" ht="28.5" customHeight="1">
      <c r="B740" s="140"/>
      <c r="C740" s="61"/>
      <c r="D740" s="61"/>
    </row>
    <row r="741" ht="28.5" customHeight="1">
      <c r="B741" s="140"/>
      <c r="C741" s="61"/>
      <c r="D741" s="61"/>
    </row>
    <row r="742" ht="28.5" customHeight="1">
      <c r="B742" s="140"/>
      <c r="C742" s="61"/>
      <c r="D742" s="61"/>
    </row>
    <row r="743" ht="28.5" customHeight="1">
      <c r="B743" s="140"/>
      <c r="C743" s="61"/>
      <c r="D743" s="61"/>
    </row>
    <row r="744" ht="28.5" customHeight="1">
      <c r="B744" s="140"/>
      <c r="C744" s="61"/>
      <c r="D744" s="61"/>
    </row>
    <row r="745" ht="28.5" customHeight="1">
      <c r="B745" s="140"/>
      <c r="C745" s="61"/>
      <c r="D745" s="61"/>
    </row>
    <row r="746" ht="28.5" customHeight="1">
      <c r="B746" s="140"/>
      <c r="C746" s="61"/>
      <c r="D746" s="61"/>
    </row>
    <row r="747" ht="28.5" customHeight="1">
      <c r="B747" s="140"/>
      <c r="C747" s="61"/>
      <c r="D747" s="61"/>
    </row>
    <row r="748" ht="28.5" customHeight="1">
      <c r="B748" s="140"/>
      <c r="C748" s="61"/>
      <c r="D748" s="61"/>
    </row>
    <row r="749" ht="28.5" customHeight="1">
      <c r="B749" s="140"/>
      <c r="C749" s="61"/>
      <c r="D749" s="61"/>
    </row>
    <row r="750" ht="28.5" customHeight="1">
      <c r="B750" s="140"/>
      <c r="C750" s="61"/>
      <c r="D750" s="61"/>
    </row>
    <row r="751" ht="28.5" customHeight="1">
      <c r="B751" s="140"/>
      <c r="C751" s="61"/>
      <c r="D751" s="61"/>
    </row>
    <row r="752" ht="28.5" customHeight="1">
      <c r="B752" s="140"/>
      <c r="C752" s="61"/>
      <c r="D752" s="61"/>
    </row>
    <row r="753" ht="28.5" customHeight="1">
      <c r="B753" s="140"/>
      <c r="C753" s="61"/>
      <c r="D753" s="61"/>
    </row>
    <row r="754" ht="28.5" customHeight="1">
      <c r="B754" s="140"/>
      <c r="C754" s="61"/>
      <c r="D754" s="61"/>
    </row>
    <row r="755" ht="28.5" customHeight="1">
      <c r="B755" s="140"/>
      <c r="C755" s="61"/>
      <c r="D755" s="61"/>
    </row>
    <row r="756" ht="28.5" customHeight="1">
      <c r="B756" s="140"/>
      <c r="C756" s="61"/>
      <c r="D756" s="61"/>
    </row>
    <row r="757" ht="28.5" customHeight="1">
      <c r="B757" s="140"/>
      <c r="C757" s="61"/>
      <c r="D757" s="61"/>
    </row>
    <row r="758" ht="28.5" customHeight="1">
      <c r="B758" s="140"/>
      <c r="C758" s="61"/>
      <c r="D758" s="61"/>
    </row>
    <row r="759" ht="28.5" customHeight="1">
      <c r="B759" s="140"/>
      <c r="C759" s="61"/>
      <c r="D759" s="61"/>
    </row>
    <row r="760" ht="28.5" customHeight="1">
      <c r="B760" s="140"/>
      <c r="C760" s="61"/>
      <c r="D760" s="61"/>
    </row>
    <row r="761" ht="28.5" customHeight="1">
      <c r="B761" s="140"/>
      <c r="C761" s="61"/>
      <c r="D761" s="61"/>
    </row>
    <row r="762" ht="28.5" customHeight="1">
      <c r="B762" s="140"/>
      <c r="C762" s="61"/>
      <c r="D762" s="61"/>
    </row>
    <row r="763" ht="28.5" customHeight="1">
      <c r="B763" s="140"/>
      <c r="C763" s="61"/>
      <c r="D763" s="61"/>
    </row>
    <row r="764" ht="28.5" customHeight="1">
      <c r="B764" s="140"/>
      <c r="C764" s="61"/>
      <c r="D764" s="61"/>
    </row>
    <row r="765" ht="28.5" customHeight="1">
      <c r="B765" s="140"/>
      <c r="C765" s="61"/>
      <c r="D765" s="61"/>
    </row>
    <row r="766" ht="28.5" customHeight="1">
      <c r="B766" s="140"/>
      <c r="C766" s="61"/>
      <c r="D766" s="61"/>
    </row>
    <row r="767" ht="28.5" customHeight="1">
      <c r="B767" s="140"/>
      <c r="C767" s="61"/>
      <c r="D767" s="61"/>
    </row>
    <row r="768" ht="28.5" customHeight="1">
      <c r="B768" s="140"/>
      <c r="C768" s="61"/>
      <c r="D768" s="61"/>
    </row>
    <row r="769" ht="28.5" customHeight="1">
      <c r="B769" s="140"/>
      <c r="C769" s="61"/>
      <c r="D769" s="61"/>
    </row>
    <row r="770" ht="28.5" customHeight="1">
      <c r="B770" s="140"/>
      <c r="C770" s="61"/>
      <c r="D770" s="61"/>
    </row>
    <row r="771" ht="28.5" customHeight="1">
      <c r="B771" s="140"/>
      <c r="C771" s="61"/>
      <c r="D771" s="61"/>
    </row>
    <row r="772" ht="28.5" customHeight="1">
      <c r="B772" s="140"/>
      <c r="C772" s="61"/>
      <c r="D772" s="61"/>
    </row>
    <row r="773" ht="28.5" customHeight="1">
      <c r="B773" s="140"/>
      <c r="C773" s="61"/>
      <c r="D773" s="61"/>
    </row>
    <row r="774" ht="28.5" customHeight="1">
      <c r="B774" s="140"/>
      <c r="C774" s="61"/>
      <c r="D774" s="61"/>
    </row>
    <row r="775" ht="28.5" customHeight="1">
      <c r="B775" s="140"/>
      <c r="C775" s="61"/>
      <c r="D775" s="61"/>
    </row>
    <row r="776" ht="28.5" customHeight="1">
      <c r="B776" s="140"/>
      <c r="C776" s="61"/>
      <c r="D776" s="61"/>
    </row>
    <row r="777" ht="28.5" customHeight="1">
      <c r="B777" s="140"/>
      <c r="C777" s="61"/>
      <c r="D777" s="61"/>
    </row>
    <row r="778" ht="28.5" customHeight="1">
      <c r="B778" s="140"/>
      <c r="C778" s="61"/>
      <c r="D778" s="61"/>
    </row>
    <row r="779" ht="28.5" customHeight="1">
      <c r="B779" s="140"/>
      <c r="C779" s="61"/>
      <c r="D779" s="61"/>
    </row>
    <row r="780" ht="28.5" customHeight="1">
      <c r="B780" s="140"/>
      <c r="C780" s="61"/>
      <c r="D780" s="61"/>
    </row>
    <row r="781" ht="28.5" customHeight="1">
      <c r="B781" s="140"/>
      <c r="C781" s="61"/>
      <c r="D781" s="61"/>
    </row>
    <row r="782" ht="28.5" customHeight="1">
      <c r="B782" s="140"/>
      <c r="C782" s="61"/>
      <c r="D782" s="61"/>
    </row>
    <row r="783" ht="28.5" customHeight="1">
      <c r="B783" s="140"/>
      <c r="C783" s="61"/>
      <c r="D783" s="61"/>
    </row>
    <row r="784" ht="28.5" customHeight="1">
      <c r="B784" s="140"/>
      <c r="C784" s="61"/>
      <c r="D784" s="61"/>
    </row>
    <row r="785" ht="28.5" customHeight="1">
      <c r="B785" s="140"/>
      <c r="C785" s="61"/>
      <c r="D785" s="61"/>
    </row>
    <row r="786" ht="28.5" customHeight="1">
      <c r="B786" s="140"/>
      <c r="C786" s="61"/>
      <c r="D786" s="61"/>
    </row>
    <row r="787" ht="28.5" customHeight="1">
      <c r="B787" s="140"/>
      <c r="C787" s="61"/>
      <c r="D787" s="61"/>
    </row>
    <row r="788" ht="28.5" customHeight="1">
      <c r="B788" s="140"/>
      <c r="C788" s="61"/>
      <c r="D788" s="61"/>
    </row>
    <row r="789" ht="28.5" customHeight="1">
      <c r="B789" s="140"/>
      <c r="C789" s="61"/>
      <c r="D789" s="61"/>
    </row>
    <row r="790" ht="28.5" customHeight="1">
      <c r="B790" s="140"/>
      <c r="C790" s="61"/>
      <c r="D790" s="61"/>
    </row>
    <row r="791" ht="28.5" customHeight="1">
      <c r="B791" s="140"/>
      <c r="C791" s="61"/>
      <c r="D791" s="61"/>
    </row>
    <row r="792" ht="28.5" customHeight="1">
      <c r="B792" s="140"/>
      <c r="C792" s="61"/>
      <c r="D792" s="61"/>
    </row>
    <row r="793" ht="28.5" customHeight="1">
      <c r="B793" s="140"/>
      <c r="C793" s="61"/>
      <c r="D793" s="61"/>
    </row>
    <row r="794" ht="28.5" customHeight="1">
      <c r="B794" s="140"/>
      <c r="C794" s="61"/>
      <c r="D794" s="61"/>
    </row>
    <row r="795" ht="28.5" customHeight="1">
      <c r="B795" s="140"/>
      <c r="C795" s="61"/>
      <c r="D795" s="61"/>
    </row>
    <row r="796" ht="28.5" customHeight="1">
      <c r="B796" s="140"/>
      <c r="C796" s="61"/>
      <c r="D796" s="61"/>
    </row>
    <row r="797" ht="28.5" customHeight="1">
      <c r="B797" s="140"/>
      <c r="C797" s="61"/>
      <c r="D797" s="61"/>
    </row>
    <row r="798" ht="28.5" customHeight="1">
      <c r="B798" s="140"/>
      <c r="C798" s="61"/>
      <c r="D798" s="61"/>
    </row>
    <row r="799" ht="28.5" customHeight="1">
      <c r="B799" s="140"/>
      <c r="C799" s="61"/>
      <c r="D799" s="61"/>
    </row>
    <row r="800" ht="28.5" customHeight="1">
      <c r="B800" s="140"/>
      <c r="C800" s="61"/>
      <c r="D800" s="61"/>
    </row>
    <row r="801" ht="28.5" customHeight="1">
      <c r="B801" s="140"/>
      <c r="C801" s="61"/>
      <c r="D801" s="61"/>
    </row>
    <row r="802" ht="28.5" customHeight="1">
      <c r="B802" s="140"/>
      <c r="C802" s="61"/>
      <c r="D802" s="61"/>
    </row>
    <row r="803" ht="28.5" customHeight="1">
      <c r="B803" s="140"/>
      <c r="C803" s="61"/>
      <c r="D803" s="61"/>
    </row>
    <row r="804" ht="28.5" customHeight="1">
      <c r="B804" s="140"/>
      <c r="C804" s="61"/>
      <c r="D804" s="61"/>
    </row>
    <row r="805" ht="28.5" customHeight="1">
      <c r="B805" s="140"/>
      <c r="C805" s="61"/>
      <c r="D805" s="61"/>
    </row>
    <row r="806" ht="28.5" customHeight="1">
      <c r="B806" s="140"/>
      <c r="C806" s="61"/>
      <c r="D806" s="61"/>
    </row>
    <row r="807" ht="28.5" customHeight="1">
      <c r="B807" s="140"/>
      <c r="C807" s="61"/>
      <c r="D807" s="61"/>
    </row>
    <row r="808" ht="28.5" customHeight="1">
      <c r="B808" s="140"/>
      <c r="C808" s="61"/>
      <c r="D808" s="61"/>
    </row>
    <row r="809" ht="28.5" customHeight="1">
      <c r="B809" s="140"/>
      <c r="C809" s="61"/>
      <c r="D809" s="61"/>
    </row>
    <row r="810" ht="28.5" customHeight="1">
      <c r="B810" s="140"/>
      <c r="C810" s="61"/>
      <c r="D810" s="61"/>
    </row>
    <row r="811" ht="28.5" customHeight="1">
      <c r="B811" s="140"/>
      <c r="C811" s="61"/>
      <c r="D811" s="61"/>
    </row>
    <row r="812" ht="28.5" customHeight="1">
      <c r="B812" s="140"/>
      <c r="C812" s="61"/>
      <c r="D812" s="61"/>
    </row>
    <row r="813" ht="28.5" customHeight="1">
      <c r="B813" s="140"/>
      <c r="C813" s="61"/>
      <c r="D813" s="61"/>
    </row>
    <row r="814" ht="28.5" customHeight="1">
      <c r="B814" s="140"/>
      <c r="C814" s="61"/>
      <c r="D814" s="61"/>
    </row>
    <row r="815" ht="28.5" customHeight="1">
      <c r="B815" s="140"/>
      <c r="C815" s="61"/>
      <c r="D815" s="61"/>
    </row>
    <row r="816" ht="28.5" customHeight="1">
      <c r="B816" s="140"/>
      <c r="C816" s="61"/>
      <c r="D816" s="61"/>
    </row>
    <row r="817" ht="28.5" customHeight="1">
      <c r="B817" s="140"/>
      <c r="C817" s="61"/>
      <c r="D817" s="61"/>
    </row>
    <row r="818" ht="28.5" customHeight="1">
      <c r="B818" s="140"/>
      <c r="C818" s="61"/>
      <c r="D818" s="61"/>
    </row>
    <row r="819" ht="28.5" customHeight="1">
      <c r="B819" s="140"/>
      <c r="C819" s="61"/>
      <c r="D819" s="61"/>
    </row>
    <row r="820" ht="28.5" customHeight="1">
      <c r="B820" s="140"/>
      <c r="C820" s="61"/>
      <c r="D820" s="61"/>
    </row>
    <row r="821" ht="28.5" customHeight="1">
      <c r="B821" s="140"/>
      <c r="C821" s="61"/>
      <c r="D821" s="61"/>
    </row>
    <row r="822" ht="28.5" customHeight="1">
      <c r="B822" s="140"/>
      <c r="C822" s="61"/>
      <c r="D822" s="61"/>
    </row>
    <row r="823" ht="28.5" customHeight="1">
      <c r="B823" s="140"/>
      <c r="C823" s="61"/>
      <c r="D823" s="61"/>
    </row>
    <row r="824" ht="28.5" customHeight="1">
      <c r="B824" s="140"/>
      <c r="C824" s="61"/>
      <c r="D824" s="61"/>
    </row>
    <row r="825" ht="28.5" customHeight="1">
      <c r="B825" s="140"/>
      <c r="C825" s="61"/>
      <c r="D825" s="61"/>
    </row>
    <row r="826" ht="28.5" customHeight="1">
      <c r="B826" s="140"/>
      <c r="C826" s="61"/>
      <c r="D826" s="61"/>
    </row>
    <row r="827" ht="28.5" customHeight="1">
      <c r="B827" s="140"/>
      <c r="C827" s="61"/>
      <c r="D827" s="61"/>
    </row>
    <row r="828" ht="28.5" customHeight="1">
      <c r="B828" s="140"/>
      <c r="C828" s="61"/>
      <c r="D828" s="61"/>
    </row>
    <row r="829" ht="28.5" customHeight="1">
      <c r="B829" s="140"/>
      <c r="C829" s="61"/>
      <c r="D829" s="61"/>
    </row>
    <row r="830" ht="28.5" customHeight="1">
      <c r="B830" s="140"/>
      <c r="C830" s="61"/>
      <c r="D830" s="61"/>
    </row>
    <row r="831" ht="28.5" customHeight="1">
      <c r="B831" s="140"/>
      <c r="C831" s="61"/>
      <c r="D831" s="61"/>
    </row>
    <row r="832" ht="28.5" customHeight="1">
      <c r="B832" s="140"/>
      <c r="C832" s="61"/>
      <c r="D832" s="61"/>
    </row>
    <row r="833" ht="28.5" customHeight="1">
      <c r="B833" s="140"/>
      <c r="C833" s="61"/>
      <c r="D833" s="61"/>
    </row>
    <row r="834" ht="28.5" customHeight="1">
      <c r="B834" s="140"/>
      <c r="C834" s="61"/>
      <c r="D834" s="61"/>
    </row>
    <row r="835" ht="28.5" customHeight="1">
      <c r="B835" s="140"/>
      <c r="C835" s="61"/>
      <c r="D835" s="61"/>
    </row>
    <row r="836" ht="28.5" customHeight="1">
      <c r="B836" s="140"/>
      <c r="C836" s="61"/>
      <c r="D836" s="61"/>
    </row>
    <row r="837" ht="28.5" customHeight="1">
      <c r="B837" s="140"/>
      <c r="C837" s="61"/>
      <c r="D837" s="61"/>
    </row>
    <row r="838" ht="28.5" customHeight="1">
      <c r="B838" s="140"/>
      <c r="C838" s="61"/>
      <c r="D838" s="61"/>
    </row>
    <row r="839" ht="28.5" customHeight="1">
      <c r="B839" s="140"/>
      <c r="C839" s="61"/>
      <c r="D839" s="61"/>
    </row>
    <row r="840" ht="28.5" customHeight="1">
      <c r="B840" s="140"/>
      <c r="C840" s="61"/>
      <c r="D840" s="61"/>
    </row>
    <row r="841" ht="28.5" customHeight="1">
      <c r="B841" s="140"/>
      <c r="C841" s="61"/>
      <c r="D841" s="61"/>
    </row>
    <row r="842" ht="28.5" customHeight="1">
      <c r="B842" s="140"/>
      <c r="C842" s="61"/>
      <c r="D842" s="61"/>
    </row>
    <row r="843" ht="28.5" customHeight="1">
      <c r="B843" s="140"/>
      <c r="C843" s="61"/>
      <c r="D843" s="61"/>
    </row>
    <row r="844" ht="28.5" customHeight="1">
      <c r="B844" s="140"/>
      <c r="C844" s="61"/>
      <c r="D844" s="61"/>
    </row>
    <row r="845" ht="28.5" customHeight="1">
      <c r="B845" s="140"/>
      <c r="C845" s="61"/>
      <c r="D845" s="61"/>
    </row>
    <row r="846" ht="28.5" customHeight="1">
      <c r="B846" s="140"/>
      <c r="C846" s="61"/>
      <c r="D846" s="61"/>
    </row>
    <row r="847" ht="28.5" customHeight="1">
      <c r="B847" s="140"/>
      <c r="C847" s="61"/>
      <c r="D847" s="61"/>
    </row>
    <row r="848" ht="28.5" customHeight="1">
      <c r="B848" s="140"/>
      <c r="C848" s="61"/>
      <c r="D848" s="61"/>
    </row>
    <row r="849" ht="28.5" customHeight="1">
      <c r="B849" s="140"/>
      <c r="C849" s="61"/>
      <c r="D849" s="61"/>
    </row>
    <row r="850" ht="28.5" customHeight="1">
      <c r="B850" s="140"/>
      <c r="C850" s="61"/>
      <c r="D850" s="61"/>
    </row>
    <row r="851" ht="28.5" customHeight="1">
      <c r="B851" s="140"/>
      <c r="C851" s="61"/>
      <c r="D851" s="61"/>
    </row>
    <row r="852" ht="28.5" customHeight="1">
      <c r="B852" s="140"/>
      <c r="C852" s="61"/>
      <c r="D852" s="61"/>
    </row>
    <row r="853" ht="28.5" customHeight="1">
      <c r="B853" s="140"/>
      <c r="C853" s="61"/>
      <c r="D853" s="61"/>
    </row>
    <row r="854" ht="28.5" customHeight="1">
      <c r="B854" s="140"/>
      <c r="C854" s="61"/>
      <c r="D854" s="61"/>
    </row>
    <row r="855" ht="28.5" customHeight="1">
      <c r="B855" s="140"/>
      <c r="C855" s="61"/>
      <c r="D855" s="61"/>
    </row>
    <row r="856" ht="28.5" customHeight="1">
      <c r="B856" s="140"/>
      <c r="C856" s="61"/>
      <c r="D856" s="61"/>
    </row>
    <row r="857" ht="28.5" customHeight="1">
      <c r="B857" s="140"/>
      <c r="C857" s="61"/>
      <c r="D857" s="61"/>
    </row>
    <row r="858" ht="28.5" customHeight="1">
      <c r="B858" s="140"/>
      <c r="C858" s="61"/>
      <c r="D858" s="61"/>
    </row>
    <row r="859" ht="28.5" customHeight="1">
      <c r="B859" s="140"/>
      <c r="C859" s="61"/>
      <c r="D859" s="61"/>
    </row>
    <row r="860" ht="28.5" customHeight="1">
      <c r="B860" s="140"/>
      <c r="C860" s="61"/>
      <c r="D860" s="61"/>
    </row>
    <row r="861" ht="28.5" customHeight="1">
      <c r="B861" s="140"/>
      <c r="C861" s="61"/>
      <c r="D861" s="61"/>
    </row>
    <row r="862" ht="28.5" customHeight="1">
      <c r="B862" s="140"/>
      <c r="C862" s="61"/>
      <c r="D862" s="61"/>
    </row>
    <row r="863" ht="28.5" customHeight="1">
      <c r="B863" s="140"/>
      <c r="C863" s="61"/>
      <c r="D863" s="61"/>
    </row>
    <row r="864" ht="28.5" customHeight="1">
      <c r="B864" s="140"/>
      <c r="C864" s="61"/>
      <c r="D864" s="61"/>
    </row>
    <row r="865" ht="28.5" customHeight="1">
      <c r="B865" s="140"/>
      <c r="C865" s="61"/>
      <c r="D865" s="61"/>
    </row>
    <row r="866" ht="28.5" customHeight="1">
      <c r="B866" s="140"/>
      <c r="C866" s="61"/>
      <c r="D866" s="61"/>
    </row>
    <row r="867" ht="28.5" customHeight="1">
      <c r="B867" s="140"/>
      <c r="C867" s="61"/>
      <c r="D867" s="61"/>
    </row>
    <row r="868" ht="28.5" customHeight="1">
      <c r="B868" s="140"/>
      <c r="C868" s="61"/>
      <c r="D868" s="61"/>
    </row>
    <row r="869" ht="28.5" customHeight="1">
      <c r="B869" s="140"/>
      <c r="C869" s="61"/>
      <c r="D869" s="61"/>
    </row>
    <row r="870" ht="28.5" customHeight="1">
      <c r="B870" s="140"/>
      <c r="C870" s="61"/>
      <c r="D870" s="61"/>
    </row>
    <row r="871" ht="28.5" customHeight="1">
      <c r="B871" s="140"/>
      <c r="C871" s="61"/>
      <c r="D871" s="61"/>
    </row>
    <row r="872" ht="28.5" customHeight="1">
      <c r="B872" s="140"/>
      <c r="C872" s="61"/>
      <c r="D872" s="61"/>
    </row>
    <row r="873" ht="28.5" customHeight="1">
      <c r="B873" s="140"/>
      <c r="C873" s="61"/>
      <c r="D873" s="61"/>
    </row>
    <row r="874" ht="28.5" customHeight="1">
      <c r="B874" s="140"/>
      <c r="C874" s="61"/>
      <c r="D874" s="61"/>
    </row>
    <row r="875" ht="28.5" customHeight="1">
      <c r="B875" s="140"/>
      <c r="C875" s="61"/>
      <c r="D875" s="61"/>
    </row>
    <row r="876" ht="28.5" customHeight="1">
      <c r="B876" s="140"/>
      <c r="C876" s="61"/>
      <c r="D876" s="61"/>
    </row>
    <row r="877" ht="28.5" customHeight="1">
      <c r="B877" s="140"/>
      <c r="C877" s="61"/>
      <c r="D877" s="61"/>
    </row>
    <row r="878" ht="28.5" customHeight="1">
      <c r="B878" s="140"/>
      <c r="C878" s="61"/>
      <c r="D878" s="61"/>
    </row>
    <row r="879" ht="28.5" customHeight="1">
      <c r="B879" s="140"/>
      <c r="C879" s="61"/>
      <c r="D879" s="61"/>
    </row>
    <row r="880" ht="28.5" customHeight="1">
      <c r="B880" s="140"/>
      <c r="C880" s="61"/>
      <c r="D880" s="61"/>
    </row>
    <row r="881" ht="28.5" customHeight="1">
      <c r="B881" s="140"/>
      <c r="C881" s="61"/>
      <c r="D881" s="61"/>
    </row>
    <row r="882" ht="28.5" customHeight="1">
      <c r="B882" s="140"/>
      <c r="C882" s="61"/>
      <c r="D882" s="61"/>
    </row>
    <row r="883" ht="28.5" customHeight="1">
      <c r="B883" s="140"/>
      <c r="C883" s="61"/>
      <c r="D883" s="61"/>
    </row>
    <row r="884" ht="28.5" customHeight="1">
      <c r="B884" s="140"/>
      <c r="C884" s="61"/>
      <c r="D884" s="61"/>
    </row>
    <row r="885" ht="28.5" customHeight="1">
      <c r="B885" s="140"/>
      <c r="C885" s="61"/>
      <c r="D885" s="61"/>
    </row>
    <row r="886" ht="28.5" customHeight="1">
      <c r="B886" s="140"/>
      <c r="C886" s="61"/>
      <c r="D886" s="61"/>
    </row>
    <row r="887" ht="28.5" customHeight="1">
      <c r="B887" s="140"/>
      <c r="C887" s="61"/>
      <c r="D887" s="61"/>
    </row>
    <row r="888" ht="28.5" customHeight="1">
      <c r="B888" s="140"/>
      <c r="C888" s="61"/>
      <c r="D888" s="61"/>
    </row>
    <row r="889" ht="28.5" customHeight="1">
      <c r="B889" s="140"/>
      <c r="C889" s="61"/>
      <c r="D889" s="61"/>
    </row>
    <row r="890" ht="28.5" customHeight="1">
      <c r="B890" s="140"/>
      <c r="C890" s="61"/>
      <c r="D890" s="61"/>
    </row>
    <row r="891" ht="28.5" customHeight="1">
      <c r="B891" s="140"/>
      <c r="C891" s="61"/>
      <c r="D891" s="61"/>
    </row>
    <row r="892" ht="28.5" customHeight="1">
      <c r="B892" s="140"/>
      <c r="C892" s="61"/>
      <c r="D892" s="61"/>
    </row>
    <row r="893" ht="28.5" customHeight="1">
      <c r="B893" s="140"/>
      <c r="C893" s="61"/>
      <c r="D893" s="61"/>
    </row>
    <row r="894" ht="28.5" customHeight="1">
      <c r="B894" s="140"/>
      <c r="C894" s="61"/>
      <c r="D894" s="61"/>
    </row>
    <row r="895" ht="28.5" customHeight="1">
      <c r="B895" s="140"/>
      <c r="C895" s="61"/>
      <c r="D895" s="61"/>
    </row>
    <row r="896" ht="28.5" customHeight="1">
      <c r="B896" s="140"/>
      <c r="C896" s="61"/>
      <c r="D896" s="61"/>
    </row>
    <row r="897" ht="28.5" customHeight="1">
      <c r="B897" s="140"/>
      <c r="C897" s="61"/>
      <c r="D897" s="61"/>
    </row>
    <row r="898" ht="28.5" customHeight="1">
      <c r="B898" s="140"/>
      <c r="C898" s="61"/>
      <c r="D898" s="61"/>
    </row>
    <row r="899" ht="28.5" customHeight="1">
      <c r="B899" s="140"/>
      <c r="C899" s="61"/>
      <c r="D899" s="61"/>
    </row>
    <row r="900" ht="28.5" customHeight="1">
      <c r="B900" s="140"/>
      <c r="C900" s="61"/>
      <c r="D900" s="61"/>
    </row>
    <row r="901" ht="28.5" customHeight="1">
      <c r="B901" s="140"/>
      <c r="C901" s="61"/>
      <c r="D901" s="61"/>
    </row>
    <row r="902" ht="28.5" customHeight="1">
      <c r="B902" s="140"/>
      <c r="C902" s="61"/>
      <c r="D902" s="61"/>
    </row>
    <row r="903" ht="28.5" customHeight="1">
      <c r="B903" s="140"/>
      <c r="C903" s="61"/>
      <c r="D903" s="61"/>
    </row>
    <row r="904" ht="28.5" customHeight="1">
      <c r="B904" s="140"/>
      <c r="C904" s="61"/>
      <c r="D904" s="61"/>
    </row>
    <row r="905" ht="28.5" customHeight="1">
      <c r="B905" s="140"/>
      <c r="C905" s="61"/>
      <c r="D905" s="61"/>
    </row>
    <row r="906" ht="28.5" customHeight="1">
      <c r="B906" s="140"/>
      <c r="C906" s="61"/>
      <c r="D906" s="61"/>
    </row>
    <row r="907" ht="28.5" customHeight="1">
      <c r="B907" s="140"/>
      <c r="C907" s="61"/>
      <c r="D907" s="61"/>
    </row>
    <row r="908" ht="28.5" customHeight="1">
      <c r="B908" s="140"/>
      <c r="C908" s="61"/>
      <c r="D908" s="61"/>
    </row>
    <row r="909" ht="28.5" customHeight="1">
      <c r="B909" s="140"/>
      <c r="C909" s="61"/>
      <c r="D909" s="61"/>
    </row>
    <row r="910" ht="28.5" customHeight="1">
      <c r="B910" s="140"/>
      <c r="C910" s="61"/>
      <c r="D910" s="61"/>
    </row>
    <row r="911" ht="28.5" customHeight="1">
      <c r="B911" s="140"/>
      <c r="C911" s="61"/>
      <c r="D911" s="61"/>
    </row>
    <row r="912" ht="28.5" customHeight="1">
      <c r="B912" s="140"/>
      <c r="C912" s="61"/>
      <c r="D912" s="61"/>
    </row>
    <row r="913" ht="28.5" customHeight="1">
      <c r="B913" s="140"/>
      <c r="C913" s="61"/>
      <c r="D913" s="61"/>
    </row>
    <row r="914" ht="28.5" customHeight="1">
      <c r="B914" s="140"/>
      <c r="C914" s="61"/>
      <c r="D914" s="61"/>
    </row>
    <row r="915" ht="28.5" customHeight="1">
      <c r="B915" s="140"/>
      <c r="C915" s="61"/>
      <c r="D915" s="61"/>
    </row>
    <row r="916" ht="28.5" customHeight="1">
      <c r="B916" s="140"/>
      <c r="C916" s="61"/>
      <c r="D916" s="61"/>
    </row>
    <row r="917" ht="28.5" customHeight="1">
      <c r="B917" s="140"/>
      <c r="C917" s="61"/>
      <c r="D917" s="61"/>
    </row>
    <row r="918" ht="28.5" customHeight="1">
      <c r="B918" s="140"/>
      <c r="C918" s="61"/>
      <c r="D918" s="61"/>
    </row>
    <row r="919" ht="28.5" customHeight="1">
      <c r="B919" s="140"/>
      <c r="C919" s="61"/>
      <c r="D919" s="61"/>
    </row>
    <row r="920" ht="28.5" customHeight="1">
      <c r="B920" s="140"/>
      <c r="C920" s="61"/>
      <c r="D920" s="61"/>
    </row>
    <row r="921" ht="28.5" customHeight="1">
      <c r="B921" s="140"/>
      <c r="C921" s="61"/>
      <c r="D921" s="61"/>
    </row>
    <row r="922" ht="28.5" customHeight="1">
      <c r="B922" s="140"/>
      <c r="C922" s="61"/>
      <c r="D922" s="61"/>
    </row>
    <row r="923" ht="28.5" customHeight="1">
      <c r="B923" s="140"/>
      <c r="C923" s="61"/>
      <c r="D923" s="61"/>
    </row>
    <row r="924" ht="28.5" customHeight="1">
      <c r="B924" s="140"/>
      <c r="C924" s="61"/>
      <c r="D924" s="61"/>
    </row>
    <row r="925" ht="28.5" customHeight="1">
      <c r="B925" s="140"/>
      <c r="C925" s="61"/>
      <c r="D925" s="61"/>
    </row>
    <row r="926" ht="28.5" customHeight="1">
      <c r="B926" s="140"/>
      <c r="C926" s="61"/>
      <c r="D926" s="61"/>
    </row>
    <row r="927" ht="28.5" customHeight="1">
      <c r="B927" s="140"/>
      <c r="C927" s="61"/>
      <c r="D927" s="61"/>
    </row>
    <row r="928" ht="28.5" customHeight="1">
      <c r="B928" s="140"/>
      <c r="C928" s="61"/>
      <c r="D928" s="61"/>
    </row>
    <row r="929" ht="28.5" customHeight="1">
      <c r="B929" s="140"/>
      <c r="C929" s="61"/>
      <c r="D929" s="61"/>
    </row>
    <row r="930" ht="28.5" customHeight="1">
      <c r="B930" s="140"/>
      <c r="C930" s="61"/>
      <c r="D930" s="61"/>
    </row>
    <row r="931" ht="28.5" customHeight="1">
      <c r="B931" s="140"/>
      <c r="C931" s="61"/>
      <c r="D931" s="61"/>
    </row>
    <row r="932" ht="28.5" customHeight="1">
      <c r="B932" s="140"/>
      <c r="C932" s="61"/>
      <c r="D932" s="61"/>
    </row>
    <row r="933" ht="28.5" customHeight="1">
      <c r="B933" s="140"/>
      <c r="C933" s="61"/>
      <c r="D933" s="61"/>
    </row>
    <row r="934" ht="28.5" customHeight="1">
      <c r="B934" s="140"/>
      <c r="C934" s="61"/>
      <c r="D934" s="61"/>
    </row>
    <row r="935" ht="28.5" customHeight="1">
      <c r="B935" s="140"/>
      <c r="C935" s="61"/>
      <c r="D935" s="61"/>
    </row>
    <row r="936" ht="28.5" customHeight="1">
      <c r="B936" s="140"/>
      <c r="C936" s="61"/>
      <c r="D936" s="61"/>
    </row>
    <row r="937" ht="28.5" customHeight="1">
      <c r="B937" s="140"/>
      <c r="C937" s="61"/>
      <c r="D937" s="61"/>
    </row>
    <row r="938" ht="28.5" customHeight="1">
      <c r="B938" s="140"/>
      <c r="C938" s="61"/>
      <c r="D938" s="61"/>
    </row>
    <row r="939" ht="28.5" customHeight="1">
      <c r="B939" s="140"/>
      <c r="C939" s="61"/>
      <c r="D939" s="61"/>
    </row>
    <row r="940" ht="28.5" customHeight="1">
      <c r="B940" s="140"/>
      <c r="C940" s="61"/>
      <c r="D940" s="61"/>
    </row>
    <row r="941" ht="28.5" customHeight="1">
      <c r="B941" s="140"/>
      <c r="C941" s="61"/>
      <c r="D941" s="61"/>
    </row>
    <row r="942" ht="28.5" customHeight="1">
      <c r="B942" s="140"/>
      <c r="C942" s="61"/>
      <c r="D942" s="61"/>
    </row>
    <row r="943" ht="28.5" customHeight="1">
      <c r="B943" s="140"/>
      <c r="C943" s="61"/>
      <c r="D943" s="61"/>
    </row>
    <row r="944" ht="28.5" customHeight="1">
      <c r="B944" s="140"/>
      <c r="C944" s="61"/>
      <c r="D944" s="61"/>
    </row>
    <row r="945" ht="28.5" customHeight="1">
      <c r="B945" s="140"/>
      <c r="C945" s="61"/>
      <c r="D945" s="61"/>
    </row>
    <row r="946" ht="28.5" customHeight="1">
      <c r="B946" s="140"/>
      <c r="C946" s="61"/>
      <c r="D946" s="61"/>
    </row>
    <row r="947" ht="28.5" customHeight="1">
      <c r="B947" s="140"/>
      <c r="C947" s="61"/>
      <c r="D947" s="61"/>
    </row>
    <row r="948" ht="28.5" customHeight="1">
      <c r="B948" s="140"/>
      <c r="C948" s="61"/>
      <c r="D948" s="61"/>
    </row>
    <row r="949" ht="28.5" customHeight="1">
      <c r="B949" s="140"/>
      <c r="C949" s="61"/>
      <c r="D949" s="61"/>
    </row>
    <row r="950" ht="28.5" customHeight="1">
      <c r="B950" s="140"/>
      <c r="C950" s="61"/>
      <c r="D950" s="61"/>
    </row>
    <row r="951" ht="28.5" customHeight="1">
      <c r="B951" s="140"/>
      <c r="C951" s="61"/>
      <c r="D951" s="61"/>
    </row>
    <row r="952" ht="28.5" customHeight="1">
      <c r="B952" s="140"/>
      <c r="C952" s="61"/>
      <c r="D952" s="61"/>
    </row>
    <row r="953" ht="28.5" customHeight="1">
      <c r="B953" s="140"/>
      <c r="C953" s="61"/>
      <c r="D953" s="61"/>
    </row>
    <row r="954" ht="28.5" customHeight="1">
      <c r="B954" s="140"/>
      <c r="C954" s="61"/>
      <c r="D954" s="61"/>
    </row>
    <row r="955" ht="28.5" customHeight="1">
      <c r="B955" s="140"/>
      <c r="C955" s="61"/>
      <c r="D955" s="61"/>
    </row>
    <row r="956" ht="28.5" customHeight="1">
      <c r="B956" s="140"/>
      <c r="C956" s="61"/>
      <c r="D956" s="61"/>
    </row>
    <row r="957" ht="28.5" customHeight="1">
      <c r="B957" s="140"/>
      <c r="C957" s="61"/>
      <c r="D957" s="61"/>
    </row>
    <row r="958" ht="28.5" customHeight="1">
      <c r="B958" s="140"/>
      <c r="C958" s="61"/>
      <c r="D958" s="61"/>
    </row>
    <row r="959" ht="28.5" customHeight="1">
      <c r="B959" s="140"/>
      <c r="C959" s="61"/>
      <c r="D959" s="61"/>
    </row>
    <row r="960" ht="28.5" customHeight="1">
      <c r="B960" s="140"/>
      <c r="C960" s="61"/>
      <c r="D960" s="61"/>
    </row>
    <row r="961" ht="28.5" customHeight="1">
      <c r="B961" s="140"/>
      <c r="C961" s="61"/>
      <c r="D961" s="61"/>
    </row>
    <row r="962" ht="28.5" customHeight="1">
      <c r="B962" s="140"/>
      <c r="C962" s="61"/>
      <c r="D962" s="61"/>
    </row>
    <row r="963" ht="28.5" customHeight="1">
      <c r="B963" s="140"/>
      <c r="C963" s="61"/>
      <c r="D963" s="61"/>
    </row>
    <row r="964" ht="28.5" customHeight="1">
      <c r="B964" s="140"/>
      <c r="C964" s="61"/>
      <c r="D964" s="61"/>
    </row>
    <row r="965" ht="28.5" customHeight="1">
      <c r="B965" s="140"/>
      <c r="C965" s="61"/>
      <c r="D965" s="61"/>
    </row>
    <row r="966" ht="28.5" customHeight="1">
      <c r="B966" s="140"/>
      <c r="C966" s="61"/>
      <c r="D966" s="61"/>
    </row>
    <row r="967" ht="28.5" customHeight="1">
      <c r="B967" s="140"/>
      <c r="C967" s="61"/>
      <c r="D967" s="61"/>
    </row>
    <row r="968" ht="28.5" customHeight="1">
      <c r="B968" s="140"/>
      <c r="C968" s="61"/>
      <c r="D968" s="61"/>
    </row>
    <row r="969" ht="28.5" customHeight="1">
      <c r="B969" s="140"/>
      <c r="C969" s="61"/>
      <c r="D969" s="61"/>
    </row>
    <row r="970" ht="28.5" customHeight="1">
      <c r="B970" s="140"/>
      <c r="C970" s="61"/>
      <c r="D970" s="61"/>
    </row>
    <row r="971" ht="28.5" customHeight="1">
      <c r="B971" s="140"/>
      <c r="C971" s="61"/>
      <c r="D971" s="61"/>
    </row>
    <row r="972" ht="28.5" customHeight="1">
      <c r="B972" s="140"/>
      <c r="C972" s="61"/>
      <c r="D972" s="61"/>
    </row>
    <row r="973" ht="28.5" customHeight="1">
      <c r="B973" s="140"/>
      <c r="C973" s="61"/>
      <c r="D973" s="61"/>
    </row>
    <row r="974" ht="28.5" customHeight="1">
      <c r="B974" s="140"/>
      <c r="C974" s="61"/>
      <c r="D974" s="61"/>
    </row>
    <row r="975" ht="28.5" customHeight="1">
      <c r="B975" s="140"/>
      <c r="C975" s="61"/>
      <c r="D975" s="61"/>
    </row>
    <row r="976" ht="28.5" customHeight="1">
      <c r="B976" s="140"/>
      <c r="C976" s="61"/>
      <c r="D976" s="61"/>
    </row>
    <row r="977" ht="28.5" customHeight="1">
      <c r="B977" s="140"/>
      <c r="C977" s="61"/>
      <c r="D977" s="61"/>
    </row>
    <row r="978" ht="28.5" customHeight="1">
      <c r="B978" s="140"/>
      <c r="C978" s="61"/>
      <c r="D978" s="61"/>
    </row>
    <row r="979" ht="28.5" customHeight="1">
      <c r="B979" s="140"/>
      <c r="C979" s="61"/>
      <c r="D979" s="61"/>
    </row>
    <row r="980" ht="28.5" customHeight="1">
      <c r="B980" s="140"/>
      <c r="C980" s="61"/>
      <c r="D980" s="61"/>
    </row>
    <row r="981" ht="28.5" customHeight="1">
      <c r="B981" s="140"/>
      <c r="C981" s="61"/>
      <c r="D981" s="61"/>
    </row>
    <row r="982" ht="28.5" customHeight="1">
      <c r="B982" s="140"/>
      <c r="C982" s="61"/>
      <c r="D982" s="61"/>
    </row>
    <row r="983" ht="28.5" customHeight="1">
      <c r="B983" s="140"/>
      <c r="C983" s="61"/>
      <c r="D983" s="61"/>
    </row>
    <row r="984" ht="28.5" customHeight="1">
      <c r="B984" s="140"/>
      <c r="C984" s="61"/>
      <c r="D984" s="61"/>
    </row>
    <row r="985" ht="28.5" customHeight="1">
      <c r="B985" s="140"/>
      <c r="C985" s="61"/>
      <c r="D985" s="61"/>
    </row>
    <row r="986" ht="28.5" customHeight="1">
      <c r="B986" s="140"/>
      <c r="C986" s="61"/>
      <c r="D986" s="61"/>
    </row>
    <row r="987" ht="28.5" customHeight="1">
      <c r="B987" s="140"/>
      <c r="C987" s="61"/>
      <c r="D987" s="61"/>
    </row>
    <row r="988" ht="28.5" customHeight="1">
      <c r="B988" s="140"/>
      <c r="C988" s="61"/>
      <c r="D988" s="61"/>
    </row>
    <row r="989" ht="28.5" customHeight="1">
      <c r="B989" s="140"/>
      <c r="C989" s="61"/>
      <c r="D989" s="61"/>
    </row>
    <row r="990" ht="28.5" customHeight="1">
      <c r="B990" s="140"/>
      <c r="C990" s="61"/>
      <c r="D990" s="61"/>
    </row>
    <row r="991" ht="28.5" customHeight="1">
      <c r="B991" s="140"/>
      <c r="C991" s="61"/>
      <c r="D991" s="61"/>
    </row>
    <row r="992" ht="28.5" customHeight="1">
      <c r="B992" s="140"/>
      <c r="C992" s="61"/>
      <c r="D992" s="61"/>
    </row>
    <row r="993" ht="28.5" customHeight="1">
      <c r="B993" s="140"/>
      <c r="C993" s="61"/>
      <c r="D993" s="61"/>
    </row>
    <row r="994" ht="28.5" customHeight="1">
      <c r="B994" s="140"/>
      <c r="C994" s="61"/>
      <c r="D994" s="61"/>
    </row>
    <row r="995" ht="28.5" customHeight="1">
      <c r="B995" s="140"/>
      <c r="C995" s="61"/>
      <c r="D995" s="61"/>
    </row>
    <row r="996" ht="28.5" customHeight="1">
      <c r="B996" s="140"/>
      <c r="C996" s="61"/>
      <c r="D996" s="61"/>
    </row>
    <row r="997" ht="28.5" customHeight="1">
      <c r="B997" s="140"/>
      <c r="C997" s="61"/>
      <c r="D997" s="61"/>
    </row>
    <row r="998" ht="28.5" customHeight="1">
      <c r="B998" s="140"/>
      <c r="C998" s="61"/>
      <c r="D998" s="61"/>
    </row>
    <row r="999" ht="28.5" customHeight="1">
      <c r="B999" s="140"/>
      <c r="C999" s="61"/>
      <c r="D999" s="61"/>
    </row>
    <row r="1000" ht="28.5" customHeight="1">
      <c r="B1000" s="140"/>
      <c r="C1000" s="61"/>
      <c r="D1000" s="61"/>
    </row>
  </sheetData>
  <mergeCells count="226">
    <mergeCell ref="C27:D27"/>
    <mergeCell ref="C28:D28"/>
    <mergeCell ref="C29:D29"/>
    <mergeCell ref="B30:D30"/>
    <mergeCell ref="C31:D31"/>
    <mergeCell ref="C32:D32"/>
    <mergeCell ref="C33:D33"/>
    <mergeCell ref="B34:D34"/>
    <mergeCell ref="C35:D35"/>
    <mergeCell ref="C36:D36"/>
    <mergeCell ref="C37:D37"/>
    <mergeCell ref="C38:D38"/>
    <mergeCell ref="B39:D39"/>
    <mergeCell ref="C40:D40"/>
    <mergeCell ref="C52:D52"/>
    <mergeCell ref="C53:D53"/>
    <mergeCell ref="K56:K79"/>
    <mergeCell ref="L56:L79"/>
    <mergeCell ref="M56:M79"/>
    <mergeCell ref="N56:N79"/>
    <mergeCell ref="O56:O79"/>
    <mergeCell ref="P56:P79"/>
    <mergeCell ref="Q56:Q79"/>
    <mergeCell ref="R56:R79"/>
    <mergeCell ref="S56:S79"/>
    <mergeCell ref="T56:T79"/>
    <mergeCell ref="U56:U79"/>
    <mergeCell ref="W56:W79"/>
    <mergeCell ref="X56:X79"/>
    <mergeCell ref="Y56:Y79"/>
    <mergeCell ref="B57:B60"/>
    <mergeCell ref="C58:D58"/>
    <mergeCell ref="B63:B66"/>
    <mergeCell ref="B46:B49"/>
    <mergeCell ref="C46:D46"/>
    <mergeCell ref="C47:D47"/>
    <mergeCell ref="C48:D48"/>
    <mergeCell ref="C49:D49"/>
    <mergeCell ref="B51:D51"/>
    <mergeCell ref="B52:B54"/>
    <mergeCell ref="C59:D59"/>
    <mergeCell ref="C60:D60"/>
    <mergeCell ref="C61:D61"/>
    <mergeCell ref="C64:D64"/>
    <mergeCell ref="G56:G79"/>
    <mergeCell ref="F83:G83"/>
    <mergeCell ref="C54:D54"/>
    <mergeCell ref="C55:D55"/>
    <mergeCell ref="F56:F79"/>
    <mergeCell ref="H56:H79"/>
    <mergeCell ref="I56:I79"/>
    <mergeCell ref="J56:J79"/>
    <mergeCell ref="C67:D67"/>
    <mergeCell ref="C65:D65"/>
    <mergeCell ref="C66:D66"/>
    <mergeCell ref="B83:C83"/>
    <mergeCell ref="B84:C84"/>
    <mergeCell ref="B85:C85"/>
    <mergeCell ref="B86:C86"/>
    <mergeCell ref="B87:C87"/>
    <mergeCell ref="E103:F103"/>
    <mergeCell ref="J103:M103"/>
    <mergeCell ref="B88:C88"/>
    <mergeCell ref="B89:C89"/>
    <mergeCell ref="B90:C90"/>
    <mergeCell ref="B91:C91"/>
    <mergeCell ref="B92:C92"/>
    <mergeCell ref="B93:C93"/>
    <mergeCell ref="B103:B104"/>
    <mergeCell ref="C6:D6"/>
    <mergeCell ref="F6:G6"/>
    <mergeCell ref="B5:D5"/>
    <mergeCell ref="C7:D7"/>
    <mergeCell ref="F7:G7"/>
    <mergeCell ref="F8:G8"/>
    <mergeCell ref="F11:G11"/>
    <mergeCell ref="H11:I11"/>
    <mergeCell ref="J11:K11"/>
    <mergeCell ref="B2:D3"/>
    <mergeCell ref="F2:AN3"/>
    <mergeCell ref="F5:H5"/>
    <mergeCell ref="L5:N5"/>
    <mergeCell ref="Q5:R5"/>
    <mergeCell ref="B6:B9"/>
    <mergeCell ref="L8:M8"/>
    <mergeCell ref="F10:AN10"/>
    <mergeCell ref="V11:W11"/>
    <mergeCell ref="X11:Y11"/>
    <mergeCell ref="Z11:AA11"/>
    <mergeCell ref="AB11:AC11"/>
    <mergeCell ref="AD11:AE11"/>
    <mergeCell ref="AF11:AG11"/>
    <mergeCell ref="AH11:AJ11"/>
    <mergeCell ref="AL11:AM11"/>
    <mergeCell ref="L6:M6"/>
    <mergeCell ref="L7:M7"/>
    <mergeCell ref="L11:M11"/>
    <mergeCell ref="N11:O11"/>
    <mergeCell ref="P11:Q11"/>
    <mergeCell ref="R11:S11"/>
    <mergeCell ref="T11:U11"/>
    <mergeCell ref="C8:D8"/>
    <mergeCell ref="C9:D9"/>
    <mergeCell ref="B11:D11"/>
    <mergeCell ref="B12:B14"/>
    <mergeCell ref="C12:D12"/>
    <mergeCell ref="C13:D13"/>
    <mergeCell ref="C14:D14"/>
    <mergeCell ref="B16:D16"/>
    <mergeCell ref="C23:D23"/>
    <mergeCell ref="C24:D24"/>
    <mergeCell ref="C25:D25"/>
    <mergeCell ref="B17:B20"/>
    <mergeCell ref="C17:D17"/>
    <mergeCell ref="C18:D18"/>
    <mergeCell ref="C19:D19"/>
    <mergeCell ref="C20:D20"/>
    <mergeCell ref="B22:D22"/>
    <mergeCell ref="B26:D26"/>
    <mergeCell ref="G14:G48"/>
    <mergeCell ref="F53:G53"/>
    <mergeCell ref="E14:E15"/>
    <mergeCell ref="F14:F48"/>
    <mergeCell ref="H14:H48"/>
    <mergeCell ref="I14:I48"/>
    <mergeCell ref="J14:J48"/>
    <mergeCell ref="K14:K48"/>
    <mergeCell ref="E17:E22"/>
    <mergeCell ref="AJ53:AK53"/>
    <mergeCell ref="AL53:AM53"/>
    <mergeCell ref="V53:W53"/>
    <mergeCell ref="X53:Y53"/>
    <mergeCell ref="Z53:AA53"/>
    <mergeCell ref="AB53:AC53"/>
    <mergeCell ref="AD53:AE53"/>
    <mergeCell ref="AF53:AG53"/>
    <mergeCell ref="AH53:AI53"/>
    <mergeCell ref="L14:L48"/>
    <mergeCell ref="M14:M48"/>
    <mergeCell ref="N14:N48"/>
    <mergeCell ref="O14:O48"/>
    <mergeCell ref="P14:P48"/>
    <mergeCell ref="Q14:Q48"/>
    <mergeCell ref="R14:R48"/>
    <mergeCell ref="S14:S48"/>
    <mergeCell ref="T14:T48"/>
    <mergeCell ref="U14:U48"/>
    <mergeCell ref="V14:V48"/>
    <mergeCell ref="W14:W48"/>
    <mergeCell ref="X14:X48"/>
    <mergeCell ref="Y14:Y48"/>
    <mergeCell ref="AG14:AG48"/>
    <mergeCell ref="AH14:AH48"/>
    <mergeCell ref="AI14:AI48"/>
    <mergeCell ref="AJ14:AJ48"/>
    <mergeCell ref="AK14:AK48"/>
    <mergeCell ref="AL14:AM48"/>
    <mergeCell ref="AN14:AN48"/>
    <mergeCell ref="Z14:Z48"/>
    <mergeCell ref="AA14:AA48"/>
    <mergeCell ref="AB14:AB48"/>
    <mergeCell ref="AC14:AC48"/>
    <mergeCell ref="AD14:AD48"/>
    <mergeCell ref="AE14:AE48"/>
    <mergeCell ref="AF14:AF48"/>
    <mergeCell ref="B23:B24"/>
    <mergeCell ref="B27:B28"/>
    <mergeCell ref="B31:B32"/>
    <mergeCell ref="B35:B37"/>
    <mergeCell ref="B40:B43"/>
    <mergeCell ref="C41:D41"/>
    <mergeCell ref="C42:D42"/>
    <mergeCell ref="C43:D43"/>
    <mergeCell ref="C44:D44"/>
    <mergeCell ref="B45:D45"/>
    <mergeCell ref="F51:AN51"/>
    <mergeCell ref="H53:I53"/>
    <mergeCell ref="J53:K53"/>
    <mergeCell ref="L53:M53"/>
    <mergeCell ref="N53:O53"/>
    <mergeCell ref="P53:Q53"/>
    <mergeCell ref="R53:S53"/>
    <mergeCell ref="T53:U53"/>
    <mergeCell ref="F54:AN54"/>
    <mergeCell ref="AI56:AI79"/>
    <mergeCell ref="AJ56:AJ79"/>
    <mergeCell ref="AK56:AK79"/>
    <mergeCell ref="AL56:AM79"/>
    <mergeCell ref="AN56:AN79"/>
    <mergeCell ref="Z56:Z79"/>
    <mergeCell ref="AA56:AA78"/>
    <mergeCell ref="AD56:AD79"/>
    <mergeCell ref="AE56:AE79"/>
    <mergeCell ref="AF56:AF79"/>
    <mergeCell ref="AG56:AG79"/>
    <mergeCell ref="AH56:AH79"/>
    <mergeCell ref="C104:D105"/>
    <mergeCell ref="C106:D106"/>
    <mergeCell ref="C107:D107"/>
    <mergeCell ref="C108:D108"/>
    <mergeCell ref="C109:D109"/>
    <mergeCell ref="C110:D110"/>
    <mergeCell ref="C111:D111"/>
    <mergeCell ref="E121:F121"/>
    <mergeCell ref="J121:M121"/>
    <mergeCell ref="C112:D112"/>
    <mergeCell ref="C113:D113"/>
    <mergeCell ref="C114:D114"/>
    <mergeCell ref="C115:D115"/>
    <mergeCell ref="C116:D116"/>
    <mergeCell ref="C117:D117"/>
    <mergeCell ref="B121:B122"/>
    <mergeCell ref="C130:D130"/>
    <mergeCell ref="C131:D131"/>
    <mergeCell ref="C132:D132"/>
    <mergeCell ref="C133:D133"/>
    <mergeCell ref="C134:D134"/>
    <mergeCell ref="C135:D135"/>
    <mergeCell ref="C144:C148"/>
    <mergeCell ref="C122:D123"/>
    <mergeCell ref="C124:D124"/>
    <mergeCell ref="C125:D125"/>
    <mergeCell ref="C126:D126"/>
    <mergeCell ref="C127:D127"/>
    <mergeCell ref="C128:D128"/>
    <mergeCell ref="C129:D12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2012-05-01T16:27:56Z</dcterms:created>
  <dc:creator>Georgia Southern University</dc:creator>
</cp:coreProperties>
</file>