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<sst xmlns="http://schemas.openxmlformats.org/spreadsheetml/2006/main" count="32" uniqueCount="32">
  <si>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No.</t>
  </si>
  <si>
    <t>Quantity</t>
  </si>
  <si>
    <t>Part</t>
  </si>
  <si>
    <t>Link</t>
  </si>
  <si>
    <t>Unit Price</t>
  </si>
  <si>
    <t>Total price</t>
  </si>
  <si>
    <t>Justification</t>
  </si>
  <si>
    <t>Arduino UNO Q 2-GB RAM [ABX00162] - Hybrid Board, Qualcomm Dragonwing QRB2210 microprocessor (MPU) &amp; STM32U585 Microcontroller(MCU), AI Vision, Voice, IoT, Robotics, Linux Debian OS, Wi-Fi 5, USB-C</t>
  </si>
  <si>
    <t>https://www.amazon.com/Arduino-2-GB-ABX00162-microprocessor-Microcontroller/dp/B0FVLQLMSV</t>
  </si>
  <si>
    <t>High-power microcontroller for robotic arm, with enough processing speed and RAM to support real-time control</t>
  </si>
  <si>
    <t>HiLetgo 2pcs PCA9685 16 Channel 12-Bit PWM Servo Motor Driver IIC Module for Arduino Robot</t>
  </si>
  <si>
    <t>https://www.amazon.com/HiLetgo-PCA9685-Channel-12-Bit-Arduino/dp/B07BRS249H</t>
  </si>
  <si>
    <t>Servo driver module for 6DOF implementation and easy power management</t>
  </si>
  <si>
    <t>SHNITPWR 4V - 12V Power Supply 10A 120W AC to DC Adapter DC 4V 4.5V 5V 6V 7V 8V 9V 10V 11V 12V Voltage Adjustable Universal Power Converter Transformer 100-240V AC In with 14 Tips &amp; Polarity Converter</t>
  </si>
  <si>
    <t>https://www.amazon.com/dp/B08N4FB7MF/</t>
  </si>
  <si>
    <t>Power supply for servo driver module</t>
  </si>
  <si>
    <t>SparkFun Qwiic Mini ToF Imager - VL53L5CX</t>
  </si>
  <si>
    <t>https://www.sparkfun.com/sparkfun-qwiic-mini-tof-imager-vl53l5cx.html
https://www.amazon.com/SparkFun-Qwiic-Mini-ToF-Imager/dp/B09YWSLVV9/</t>
  </si>
  <si>
    <t>Long-distance sensor package for real-time global obstacle avoidance (Early Warning System)</t>
  </si>
  <si>
    <t>Adafruit PCA9546 4-Channel I2C Multiplexer - TCA9546A Compatible</t>
  </si>
  <si>
    <r>
      <rPr>
        <rFont val="Arial,sans-serif"/>
        <color rgb="FF1155CC"/>
        <sz val="11.0"/>
        <u/>
      </rPr>
      <t>https://www.adafruit.com/product/5663</t>
    </r>
    <r>
      <rPr>
        <rFont val="Arial,sans-serif"/>
        <color rgb="FF000000"/>
        <sz val="11.0"/>
        <u/>
      </rPr>
      <t xml:space="preserve">
</t>
    </r>
    <r>
      <rPr>
        <rFont val="Arial,sans-serif"/>
        <color rgb="FF1155CC"/>
        <sz val="11.0"/>
        <u/>
      </rPr>
      <t>https://www.amazon.com/8541585622/dp/B017C09ETS/</t>
    </r>
  </si>
  <si>
    <t>I2C MUX for round-robin data acquisition of ToF sensors</t>
  </si>
  <si>
    <t>Teensy 4.1</t>
  </si>
  <si>
    <r>
      <rPr>
        <rFont val="Arial,sans-serif"/>
        <color rgb="FF1155CC"/>
        <sz val="11.0"/>
        <u/>
      </rPr>
      <t>https://www.sparkfun.com/teensy-4-1.html</t>
    </r>
    <r>
      <rPr>
        <rFont val="Arial,sans-serif"/>
        <color rgb="FF000000"/>
        <sz val="11.0"/>
      </rPr>
      <t xml:space="preserve"> 
</t>
    </r>
    <r>
      <rPr>
        <rFont val="Arial,sans-serif"/>
        <color rgb="FF1155CC"/>
        <sz val="11.0"/>
        <u/>
      </rPr>
      <t>https://www.amazon.com/SparkFun-Teensy-Cortex-M7-Processor-iMXRT1062/dp/B088VG4GTC/</t>
    </r>
  </si>
  <si>
    <t>High speed microcontroller for sensor array</t>
  </si>
  <si>
    <t>Zip Ties Assorted Sizes(4”+6”+8”+12”), 400 Pack, Black Cable Ties, UV Resistant Wire Ties by ANOSON</t>
  </si>
  <si>
    <t xml:space="preserve">https://amazon.com/Assorted-Sizes-12-Resistant-ANOSON/dp/B0C2Z4L3S6/ </t>
  </si>
  <si>
    <t>Cable management</t>
  </si>
  <si>
    <t>20pcs IR Infrared Obstacle Avoidance Sensor Modules for Arduino - Reflective Photoelectric Proximity Sensor, Ideal for Smart Car Robot, Arduino Car Distance Tracking,3.3V-5V DC</t>
  </si>
  <si>
    <t>https://www.amazon.com/EC-Buying-Infrared-Obstacle-Avoidance/dp/B0CWKWWKYL</t>
  </si>
  <si>
    <t>Short-distance sensor package for real-time local obstacle avoidance (Reactive System)</t>
  </si>
  <si>
    <t>Total Price: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</si>
</sst>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8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000000"/>
      <name val="Arial"/>
    </font>
    <font>
      <u/>
      <color rgb="FF0000FF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164" xfId="0" applyFont="1" applyNumberFormat="1"/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7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Arduino-A000066-ARDUINO-UNO-R3/dp/B008GRTSV6" TargetMode="External"/><Relationship Id="rId2" Type="http://schemas.openxmlformats.org/officeDocument/2006/relationships/hyperlink" Target="https://www.amazon.com/HiLetgo-PCA9685-Channel-12-Bit-Arduino/dp/B07BRS249H" TargetMode="External"/><Relationship Id="rId3" Type="http://schemas.openxmlformats.org/officeDocument/2006/relationships/hyperlink" Target="https://www.amazon.com/dp/B08N4FB7MF/" TargetMode="External"/><Relationship Id="rId4" Type="http://schemas.openxmlformats.org/officeDocument/2006/relationships/hyperlink" Target="https://www.sparkfun.com/sparkfun-qwiic-mini-tof-imager-vl53l5cx.html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adafruit.com/product/5663" TargetMode="External"/><Relationship Id="rId6" Type="http://schemas.openxmlformats.org/officeDocument/2006/relationships/hyperlink" Target="https://www.sparkfun.com/teensy-4-1.html" TargetMode="External"/><Relationship Id="rId7" Type="http://schemas.openxmlformats.org/officeDocument/2006/relationships/hyperlink" Target="https://amazon.com/Assorted-Sizes-12-Resistant-ANOSON/dp/B0C2Z4L3S6/" TargetMode="External"/><Relationship Id="rId8" Type="http://schemas.openxmlformats.org/officeDocument/2006/relationships/hyperlink" Target="https://www.amazon.com/EC-Buying-Infrared-Obstacle-Avoidance/dp/B0CWKWWK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0"/>
    <col customWidth="1" min="4" max="4" width="87.75"/>
    <col customWidth="1" min="7" max="7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">
        <v>1.0</v>
      </c>
      <c r="B2" s="1">
        <v>1.0</v>
      </c>
      <c r="C2" s="3" t="s">
        <v>7</v>
      </c>
      <c r="D2" s="4" t="s">
        <v>8</v>
      </c>
      <c r="E2" s="3">
        <v>44.0</v>
      </c>
      <c r="F2" s="5">
        <f t="shared" ref="F2:F9" si="1">E2*B2</f>
        <v>44</v>
      </c>
      <c r="G2" s="6" t="s">
        <v>9</v>
      </c>
    </row>
    <row r="3">
      <c r="A3" s="1">
        <v>2.0</v>
      </c>
      <c r="B3" s="1">
        <v>1.0</v>
      </c>
      <c r="C3" s="3" t="s">
        <v>10</v>
      </c>
      <c r="D3" s="4" t="s">
        <v>11</v>
      </c>
      <c r="E3" s="3">
        <v>13.99</v>
      </c>
      <c r="F3" s="5">
        <f t="shared" si="1"/>
        <v>13.99</v>
      </c>
      <c r="G3" s="6" t="s">
        <v>12</v>
      </c>
    </row>
    <row r="4">
      <c r="A4" s="1">
        <v>3.0</v>
      </c>
      <c r="B4" s="1">
        <v>1.0</v>
      </c>
      <c r="C4" s="3" t="s">
        <v>13</v>
      </c>
      <c r="D4" s="4" t="s">
        <v>14</v>
      </c>
      <c r="E4" s="3">
        <v>24.99</v>
      </c>
      <c r="F4" s="5">
        <f t="shared" si="1"/>
        <v>24.99</v>
      </c>
      <c r="G4" s="6" t="s">
        <v>15</v>
      </c>
    </row>
    <row r="5">
      <c r="A5" s="1">
        <v>4.0</v>
      </c>
      <c r="B5" s="1">
        <v>4.0</v>
      </c>
      <c r="C5" s="3" t="s">
        <v>16</v>
      </c>
      <c r="D5" s="7" t="s">
        <v>17</v>
      </c>
      <c r="E5" s="3">
        <v>25.95</v>
      </c>
      <c r="F5" s="5">
        <f t="shared" si="1"/>
        <v>103.8</v>
      </c>
      <c r="G5" s="6" t="s">
        <v>18</v>
      </c>
    </row>
    <row r="6">
      <c r="A6" s="1">
        <v>5.0</v>
      </c>
      <c r="B6" s="1">
        <v>1.0</v>
      </c>
      <c r="C6" s="3" t="s">
        <v>19</v>
      </c>
      <c r="D6" s="8" t="s">
        <v>20</v>
      </c>
      <c r="E6" s="3">
        <v>3.95</v>
      </c>
      <c r="F6" s="5">
        <f t="shared" si="1"/>
        <v>3.95</v>
      </c>
      <c r="G6" s="6" t="s">
        <v>21</v>
      </c>
    </row>
    <row r="7">
      <c r="A7" s="1">
        <v>6.0</v>
      </c>
      <c r="B7" s="1">
        <v>1.0</v>
      </c>
      <c r="C7" s="1" t="s">
        <v>22</v>
      </c>
      <c r="D7" s="8" t="s">
        <v>23</v>
      </c>
      <c r="E7" s="3">
        <v>31.5</v>
      </c>
      <c r="F7" s="5">
        <f t="shared" si="1"/>
        <v>31.5</v>
      </c>
      <c r="G7" s="6" t="s">
        <v>24</v>
      </c>
    </row>
    <row r="8" ht="43.5" customHeight="1">
      <c r="A8" s="1">
        <v>7.0</v>
      </c>
      <c r="B8" s="2">
        <v>1.0</v>
      </c>
      <c r="C8" s="6" t="s">
        <v>25</v>
      </c>
      <c r="D8" s="9" t="s">
        <v>26</v>
      </c>
      <c r="E8" s="10">
        <v>6.99</v>
      </c>
      <c r="F8" s="11">
        <f t="shared" si="1"/>
        <v>6.99</v>
      </c>
      <c r="G8" s="6" t="s">
        <v>27</v>
      </c>
    </row>
    <row r="9" ht="43.5" customHeight="1">
      <c r="A9" s="1">
        <v>8.0</v>
      </c>
      <c r="B9" s="2">
        <v>1.0</v>
      </c>
      <c r="C9" s="6" t="s">
        <v>28</v>
      </c>
      <c r="D9" s="9" t="s">
        <v>29</v>
      </c>
      <c r="E9" s="10">
        <v>9.0</v>
      </c>
      <c r="F9" s="11">
        <f t="shared" si="1"/>
        <v>9</v>
      </c>
      <c r="G9" s="6" t="s">
        <v>30</v>
      </c>
    </row>
    <row r="10">
      <c r="A10" s="1"/>
      <c r="B10" s="1"/>
      <c r="C10" s="3"/>
      <c r="D10" s="12"/>
      <c r="E10" s="2" t="s">
        <v>31</v>
      </c>
      <c r="F10" s="5">
        <f>SUM(F2:F9)</f>
        <v>238.22</v>
      </c>
    </row>
    <row r="11">
      <c r="A11" s="1"/>
      <c r="B11" s="1"/>
      <c r="C11" s="3"/>
      <c r="D11" s="12"/>
      <c r="E11" s="3"/>
    </row>
    <row r="12">
      <c r="A12" s="1"/>
      <c r="B12" s="1"/>
      <c r="C12" s="3"/>
      <c r="D12" s="12"/>
      <c r="E12" s="3"/>
    </row>
    <row r="13">
      <c r="A13" s="1"/>
      <c r="B13" s="1"/>
      <c r="C13" s="3"/>
      <c r="D13" s="12"/>
      <c r="E13" s="3"/>
    </row>
    <row r="15">
      <c r="A15" s="1"/>
      <c r="B15" s="1"/>
      <c r="C15" s="3"/>
      <c r="D15" s="12"/>
      <c r="E15" s="3"/>
    </row>
    <row r="16">
      <c r="A16" s="1"/>
      <c r="B16" s="1"/>
      <c r="C16" s="3"/>
      <c r="D16" s="12"/>
      <c r="E16" s="3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</worksheet>
</file>