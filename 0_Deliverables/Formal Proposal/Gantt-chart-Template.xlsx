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GQ8Ocdu8wMFdMIGfGSKwHqb+0/jjPSHV5f9iPTErc4="/>
    </ext>
  </extLst>
</workbook>
</file>

<file path=xl/sharedStrings.xml><?xml version="1.0" encoding="utf-8"?>
<sst xmlns="http://schemas.openxmlformats.org/spreadsheetml/2006/main" count="99" uniqueCount="91">
  <si>
    <t>EENG 4640 Capstone Senior Project Schedule</t>
  </si>
  <si>
    <t>Project Name</t>
  </si>
  <si>
    <t>Obstacle-Aware Trajectory Replanning of Robotic Arm</t>
  </si>
  <si>
    <t>Start Date</t>
  </si>
  <si>
    <t>Project Duration</t>
  </si>
  <si>
    <t>year</t>
  </si>
  <si>
    <t>No. of Days</t>
  </si>
  <si>
    <t>Approved By</t>
  </si>
  <si>
    <t>Dr. Mingyu Kim</t>
  </si>
  <si>
    <t>month</t>
  </si>
  <si>
    <t>No. of Weeks</t>
  </si>
  <si>
    <t>day</t>
  </si>
  <si>
    <t>Work Days</t>
  </si>
  <si>
    <t>Design Team</t>
  </si>
  <si>
    <t>Names</t>
  </si>
  <si>
    <t>Team Leader</t>
  </si>
  <si>
    <t>Sebastian Oviedo</t>
  </si>
  <si>
    <t>End Date</t>
  </si>
  <si>
    <t>Project Designer 1</t>
  </si>
  <si>
    <t>Elizabeth McGlone</t>
  </si>
  <si>
    <t>Project Designer 2</t>
  </si>
  <si>
    <t>Ariana Story</t>
  </si>
  <si>
    <t>Project Designer3</t>
  </si>
  <si>
    <t>Anish Goyal</t>
  </si>
  <si>
    <t>✔️</t>
  </si>
  <si>
    <t>Week 1</t>
  </si>
  <si>
    <t>1/12-1/18</t>
  </si>
  <si>
    <t>Week 2</t>
  </si>
  <si>
    <t>1/19-1/25</t>
  </si>
  <si>
    <t>Tasks</t>
  </si>
  <si>
    <t>Start
Week</t>
  </si>
  <si>
    <t>Duration
in Weeks</t>
  </si>
  <si>
    <t>Week 3</t>
  </si>
  <si>
    <t>1/26-2/1</t>
  </si>
  <si>
    <t>Week 4</t>
  </si>
  <si>
    <t>2/2-2/8</t>
  </si>
  <si>
    <t>Research abstract &amp; Formal proposal</t>
  </si>
  <si>
    <t>Week 5</t>
  </si>
  <si>
    <t>2/9-2/15</t>
  </si>
  <si>
    <t>Intent  to Present</t>
  </si>
  <si>
    <t>Decide on project idea</t>
  </si>
  <si>
    <t>Week 6</t>
  </si>
  <si>
    <t>2/16-2/22</t>
  </si>
  <si>
    <t>Literature review</t>
  </si>
  <si>
    <t>Week 7</t>
  </si>
  <si>
    <t>2/23-3/1</t>
  </si>
  <si>
    <t>Research components</t>
  </si>
  <si>
    <t>Week 8</t>
  </si>
  <si>
    <t>3/2-3/8</t>
  </si>
  <si>
    <t>Midterm presentation &amp; Poster Submission</t>
  </si>
  <si>
    <t>Software &amp; hardware block diagrams</t>
  </si>
  <si>
    <t>Week 9</t>
  </si>
  <si>
    <t>3/9-3/15</t>
  </si>
  <si>
    <t>CAD review / modification (arm scaling + mounts)</t>
  </si>
  <si>
    <t>Week 10</t>
  </si>
  <si>
    <t>3/16-3/22</t>
  </si>
  <si>
    <t>Spring Break</t>
  </si>
  <si>
    <t>Abstract</t>
  </si>
  <si>
    <t>Week 11</t>
  </si>
  <si>
    <t>3/23-3/29</t>
  </si>
  <si>
    <t>Poster Demonstrations (Symposium)</t>
  </si>
  <si>
    <t>Formal project proposal</t>
  </si>
  <si>
    <t>Week 12</t>
  </si>
  <si>
    <t>3/30-4/5</t>
  </si>
  <si>
    <t>Order parts (Braccio, sensors, electronics)</t>
  </si>
  <si>
    <t>Week 13</t>
  </si>
  <si>
    <t>4/6-4/12</t>
  </si>
  <si>
    <t>Webpage demponstrations</t>
  </si>
  <si>
    <t>Power system assembly &amp; decoupling PCB</t>
  </si>
  <si>
    <t>Sensor mounting (ToF + IR redesign &amp; print)</t>
  </si>
  <si>
    <t>Midterm presentation</t>
  </si>
  <si>
    <t>Software development (base IK control)</t>
  </si>
  <si>
    <t>Software development (reactive control using ToF/IR)</t>
  </si>
  <si>
    <t>MATLAB robotics simulation &amp; validation</t>
  </si>
  <si>
    <t>System integration (arm + sensors + control)</t>
  </si>
  <si>
    <t>Initial testing</t>
  </si>
  <si>
    <t>Adjustments &amp; debugging</t>
  </si>
  <si>
    <t>Full system testing</t>
  </si>
  <si>
    <t>Sustainability presentation</t>
  </si>
  <si>
    <t>Poster demonstration</t>
  </si>
  <si>
    <t>System validation</t>
  </si>
  <si>
    <t>Optimization &amp; refinement</t>
  </si>
  <si>
    <t>Project technically complete</t>
  </si>
  <si>
    <t>Comprehensive report</t>
  </si>
  <si>
    <t>Webpage demonstration (GitHub + documentation)</t>
  </si>
  <si>
    <t>Demo preparation &amp; buffer</t>
  </si>
  <si>
    <t>Formal project presentation</t>
  </si>
  <si>
    <t>Final demo &amp; project completion</t>
  </si>
  <si>
    <t>Start</t>
  </si>
  <si>
    <t>End</t>
  </si>
  <si>
    <t>Gantt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</si>
</sst>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sz val="18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theme="0"/>
      <name val="Arial"/>
    </font>
    <font>
      <b/>
      <sz val="13.0"/>
      <color theme="1"/>
      <name val="Arial"/>
    </font>
    <font>
      <sz val="2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56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/>
    </border>
    <border>
      <left/>
      <top/>
      <bottom/>
    </border>
    <border>
      <left/>
      <right/>
      <bottom/>
    </border>
    <border>
      <left/>
      <top/>
    </border>
    <border>
      <right/>
      <top/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/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/>
    </border>
    <border>
      <right/>
    </border>
    <border>
      <left style="thick">
        <color rgb="FF000000"/>
      </left>
      <right style="medium">
        <color rgb="FF000000"/>
      </right>
    </border>
    <border>
      <left/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/>
      <bottom/>
    </border>
    <border>
      <right/>
      <bottom/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4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8" fillId="5" fontId="4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8" fillId="3" fontId="1" numFmtId="0" xfId="0" applyAlignment="1" applyBorder="1" applyFont="1">
      <alignment horizontal="center" vertical="center"/>
    </xf>
    <xf borderId="11" fillId="2" fontId="1" numFmtId="0" xfId="0" applyBorder="1" applyFont="1"/>
    <xf borderId="8" fillId="3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center"/>
    </xf>
    <xf borderId="13" fillId="5" fontId="1" numFmtId="0" xfId="0" applyAlignment="1" applyBorder="1" applyFont="1">
      <alignment horizontal="center" readingOrder="0"/>
    </xf>
    <xf borderId="13" fillId="4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 readingOrder="0"/>
    </xf>
    <xf borderId="14" fillId="4" fontId="1" numFmtId="0" xfId="0" applyAlignment="1" applyBorder="1" applyFont="1">
      <alignment horizontal="center"/>
    </xf>
    <xf borderId="15" fillId="5" fontId="1" numFmtId="0" xfId="0" applyAlignment="1" applyBorder="1" applyFont="1">
      <alignment horizontal="center" readingOrder="0"/>
    </xf>
    <xf borderId="15" fillId="4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6" fillId="4" fontId="1" numFmtId="0" xfId="0" applyAlignment="1" applyBorder="1" applyFont="1">
      <alignment horizontal="center"/>
    </xf>
    <xf borderId="17" fillId="5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/>
    </xf>
    <xf borderId="18" fillId="2" fontId="1" numFmtId="0" xfId="0" applyBorder="1" applyFont="1"/>
    <xf borderId="19" fillId="3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3" fontId="1" numFmtId="0" xfId="0" applyAlignment="1" applyBorder="1" applyFont="1">
      <alignment horizontal="center"/>
    </xf>
    <xf borderId="22" fillId="0" fontId="3" numFmtId="0" xfId="0" applyBorder="1" applyFont="1"/>
    <xf borderId="23" fillId="0" fontId="3" numFmtId="0" xfId="0" applyBorder="1" applyFont="1"/>
    <xf borderId="24" fillId="4" fontId="1" numFmtId="0" xfId="0" applyAlignment="1" applyBorder="1" applyFont="1">
      <alignment horizontal="center" vertical="center"/>
    </xf>
    <xf borderId="25" fillId="0" fontId="3" numFmtId="0" xfId="0" applyBorder="1" applyFont="1"/>
    <xf borderId="26" fillId="5" fontId="1" numFmtId="0" xfId="0" applyAlignment="1" applyBorder="1" applyFont="1">
      <alignment horizontal="center" readingOrder="0"/>
    </xf>
    <xf borderId="27" fillId="0" fontId="3" numFmtId="0" xfId="0" applyBorder="1" applyFont="1"/>
    <xf borderId="28" fillId="0" fontId="3" numFmtId="0" xfId="0" applyBorder="1" applyFont="1"/>
    <xf borderId="29" fillId="3" fontId="1" numFmtId="0" xfId="0" applyAlignment="1" applyBorder="1" applyFont="1">
      <alignment horizontal="center" vertical="center"/>
    </xf>
    <xf borderId="30" fillId="0" fontId="3" numFmtId="0" xfId="0" applyBorder="1" applyFont="1"/>
    <xf borderId="24" fillId="4" fontId="1" numFmtId="0" xfId="0" applyAlignment="1" applyBorder="1" applyFont="1">
      <alignment horizontal="center"/>
    </xf>
    <xf borderId="31" fillId="5" fontId="1" numFmtId="0" xfId="0" applyAlignment="1" applyBorder="1" applyFont="1">
      <alignment horizontal="center" readingOrder="0"/>
    </xf>
    <xf borderId="32" fillId="4" fontId="1" numFmtId="0" xfId="0" applyAlignment="1" applyBorder="1" applyFont="1">
      <alignment horizontal="center"/>
    </xf>
    <xf borderId="33" fillId="0" fontId="3" numFmtId="0" xfId="0" applyBorder="1" applyFont="1"/>
    <xf borderId="34" fillId="5" fontId="1" numFmtId="0" xfId="0" applyAlignment="1" applyBorder="1" applyFont="1">
      <alignment horizontal="center" readingOrder="0"/>
    </xf>
    <xf borderId="35" fillId="0" fontId="3" numFmtId="0" xfId="0" applyBorder="1" applyFont="1"/>
    <xf borderId="36" fillId="0" fontId="3" numFmtId="0" xfId="0" applyBorder="1" applyFont="1"/>
    <xf borderId="37" fillId="2" fontId="1" numFmtId="0" xfId="0" applyBorder="1" applyFont="1"/>
    <xf borderId="38" fillId="2" fontId="1" numFmtId="0" xfId="0" applyBorder="1" applyFont="1"/>
    <xf borderId="39" fillId="2" fontId="1" numFmtId="0" xfId="0" applyBorder="1" applyFont="1"/>
    <xf borderId="0" fillId="0" fontId="5" numFmtId="0" xfId="0" applyAlignment="1" applyFont="1">
      <alignment readingOrder="0"/>
    </xf>
    <xf borderId="0" fillId="0" fontId="6" numFmtId="0" xfId="0" applyFont="1"/>
    <xf borderId="1" fillId="6" fontId="7" numFmtId="0" xfId="0" applyAlignment="1" applyBorder="1" applyFill="1" applyFont="1">
      <alignment shrinkToFit="0" vertical="top" wrapText="1"/>
    </xf>
    <xf borderId="40" fillId="2" fontId="1" numFmtId="0" xfId="0" applyAlignment="1" applyBorder="1" applyFont="1">
      <alignment horizontal="center"/>
    </xf>
    <xf borderId="41" fillId="0" fontId="3" numFmtId="0" xfId="0" applyBorder="1" applyFont="1"/>
    <xf borderId="42" fillId="3" fontId="8" numFmtId="0" xfId="0" applyAlignment="1" applyBorder="1" applyFont="1">
      <alignment horizontal="center" shrinkToFit="0" vertical="center" wrapText="1"/>
    </xf>
    <xf borderId="43" fillId="3" fontId="8" numFmtId="0" xfId="0" applyAlignment="1" applyBorder="1" applyFont="1">
      <alignment horizontal="center" shrinkToFit="0" vertical="center" wrapText="1"/>
    </xf>
    <xf borderId="44" fillId="3" fontId="8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38" fillId="2" fontId="1" numFmtId="0" xfId="0" applyAlignment="1" applyBorder="1" applyFont="1">
      <alignment horizontal="center"/>
    </xf>
    <xf borderId="37" fillId="0" fontId="3" numFmtId="0" xfId="0" applyBorder="1" applyFont="1"/>
    <xf borderId="55" fillId="5" fontId="5" numFmtId="0" xfId="0" applyAlignment="1" applyBorder="1" applyFont="1">
      <alignment readingOrder="0"/>
    </xf>
    <xf borderId="0" fillId="2" fontId="1" numFmtId="0" xfId="0" applyAlignment="1" applyFont="1">
      <alignment horizontal="center"/>
    </xf>
    <xf borderId="1" fillId="2" fontId="1" numFmtId="14" xfId="0" applyAlignment="1" applyBorder="1" applyFont="1" applyNumberFormat="1">
      <alignment horizontal="left"/>
    </xf>
    <xf borderId="1" fillId="2" fontId="1" numFmtId="14" xfId="0" applyBorder="1" applyFont="1" applyNumberFormat="1"/>
    <xf borderId="2" fillId="2" fontId="9" numFmtId="0" xfId="0" applyAlignment="1" applyBorder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chemeClr val="l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Sheet1!$E$20:$E$47</c:f>
            </c:strRef>
          </c:cat>
          <c:val>
            <c:numRef>
              <c:f>Sheet1!$F$20:$F$47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Sheet1!$E$20:$E$47</c:f>
            </c:strRef>
          </c:cat>
          <c:val>
            <c:numRef>
              <c:f>Sheet1!$G$20:$G$47</c:f>
              <c:numCache/>
            </c:numRef>
          </c:val>
        </c:ser>
        <c:overlap val="100"/>
        <c:axId val="682482092"/>
        <c:axId val="767330771"/>
      </c:barChart>
      <c:catAx>
        <c:axId val="6824820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Tasks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"/>
              </a:defRPr>
            </a:pPr>
          </a:p>
        </c:txPr>
        <c:crossAx val="767330771"/>
      </c:catAx>
      <c:valAx>
        <c:axId val="7673307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Week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68248209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152400</xdr:rowOff>
    </xdr:from>
    <xdr:ext cx="19592925" cy="9039225"/>
    <xdr:graphicFrame>
      <xdr:nvGraphicFramePr>
        <xdr:cNvPr id="178654134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266700</xdr:colOff>
      <xdr:row>16</xdr:row>
      <xdr:rowOff>123825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3.43"/>
    <col customWidth="1" min="3" max="4" width="8.71"/>
    <col customWidth="1" min="5" max="5" width="42.86"/>
    <col customWidth="1" min="6" max="6" width="12.43"/>
    <col customWidth="1" min="7" max="7" width="13.43"/>
    <col customWidth="1" min="8" max="9" width="8.71"/>
    <col customWidth="1" min="10" max="10" width="9.71"/>
    <col customWidth="1" min="11" max="11" width="10.71"/>
    <col customWidth="1" min="12" max="13" width="12.43"/>
    <col customWidth="1" min="14" max="14" width="13.29"/>
    <col customWidth="1" min="15" max="18" width="8.71"/>
    <col customWidth="1" min="19" max="19" width="10.14"/>
    <col customWidth="1" min="20" max="28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</row>
    <row r="3" ht="15.7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0.0" customHeight="1">
      <c r="A5" s="1"/>
      <c r="B5" s="8" t="s">
        <v>1</v>
      </c>
      <c r="C5" s="9"/>
      <c r="D5" s="10" t="s">
        <v>2</v>
      </c>
      <c r="E5" s="11"/>
      <c r="F5" s="11"/>
      <c r="G5" s="9"/>
      <c r="H5" s="1"/>
      <c r="I5" s="12" t="s">
        <v>3</v>
      </c>
      <c r="J5" s="9"/>
      <c r="K5" s="13"/>
      <c r="L5" s="14" t="s">
        <v>4</v>
      </c>
      <c r="M5" s="9"/>
      <c r="N5" s="1"/>
      <c r="O5" s="1"/>
      <c r="P5" s="1"/>
    </row>
    <row r="6">
      <c r="A6" s="1"/>
      <c r="B6" s="1"/>
      <c r="C6" s="1"/>
      <c r="D6" s="1"/>
      <c r="E6" s="1"/>
      <c r="F6" s="1"/>
      <c r="G6" s="1"/>
      <c r="H6" s="1"/>
      <c r="I6" s="15" t="s">
        <v>5</v>
      </c>
      <c r="J6" s="16">
        <v>2026.0</v>
      </c>
      <c r="K6" s="1"/>
      <c r="L6" s="15" t="s">
        <v>6</v>
      </c>
      <c r="M6" s="17">
        <f>IFERROR(Z62-Z68," ")</f>
        <v>107</v>
      </c>
      <c r="N6" s="1"/>
      <c r="O6" s="1"/>
      <c r="P6" s="1"/>
    </row>
    <row r="7" ht="19.5" customHeight="1">
      <c r="A7" s="1"/>
      <c r="B7" s="8" t="s">
        <v>7</v>
      </c>
      <c r="C7" s="9"/>
      <c r="D7" s="18" t="s">
        <v>8</v>
      </c>
      <c r="E7" s="11"/>
      <c r="F7" s="11"/>
      <c r="G7" s="9"/>
      <c r="H7" s="1"/>
      <c r="I7" s="19" t="s">
        <v>9</v>
      </c>
      <c r="J7" s="20">
        <v>1.0</v>
      </c>
      <c r="K7" s="1"/>
      <c r="L7" s="19" t="s">
        <v>10</v>
      </c>
      <c r="M7" s="21">
        <f>IFERROR(M6/7," ")</f>
        <v>15.28571429</v>
      </c>
      <c r="N7" s="1"/>
      <c r="O7" s="1"/>
      <c r="P7" s="1"/>
    </row>
    <row r="8" ht="25.5" customHeight="1">
      <c r="A8" s="1"/>
      <c r="B8" s="22"/>
      <c r="C8" s="22"/>
      <c r="D8" s="23"/>
      <c r="E8" s="23"/>
      <c r="F8" s="23"/>
      <c r="G8" s="23"/>
      <c r="H8" s="1"/>
      <c r="I8" s="24" t="s">
        <v>11</v>
      </c>
      <c r="J8" s="25">
        <v>16.0</v>
      </c>
      <c r="K8" s="1"/>
      <c r="L8" s="24" t="s">
        <v>12</v>
      </c>
      <c r="M8" s="26">
        <f>IFERROR(NETWORKDAYS(Z68,Z62)," ")</f>
        <v>76</v>
      </c>
      <c r="N8" s="27"/>
      <c r="O8" s="1"/>
      <c r="P8" s="1"/>
    </row>
    <row r="9" ht="15.75" customHeight="1">
      <c r="A9" s="1"/>
      <c r="B9" s="28" t="s">
        <v>13</v>
      </c>
      <c r="C9" s="29"/>
      <c r="D9" s="30" t="s">
        <v>14</v>
      </c>
      <c r="E9" s="31"/>
      <c r="F9" s="31"/>
      <c r="G9" s="32"/>
      <c r="H9" s="1"/>
      <c r="I9" s="1"/>
      <c r="J9" s="1"/>
      <c r="K9" s="1"/>
      <c r="L9" s="1"/>
      <c r="M9" s="1"/>
      <c r="N9" s="1"/>
      <c r="O9" s="1"/>
      <c r="P9" s="1"/>
    </row>
    <row r="10" ht="15.75" customHeight="1">
      <c r="A10" s="1"/>
      <c r="B10" s="33" t="s">
        <v>15</v>
      </c>
      <c r="C10" s="34"/>
      <c r="D10" s="35" t="s">
        <v>16</v>
      </c>
      <c r="E10" s="36"/>
      <c r="F10" s="36"/>
      <c r="G10" s="37"/>
      <c r="H10" s="1"/>
      <c r="I10" s="38" t="s">
        <v>17</v>
      </c>
      <c r="J10" s="39"/>
      <c r="K10" s="1"/>
      <c r="L10" s="1"/>
      <c r="M10" s="1"/>
      <c r="N10" s="1"/>
      <c r="O10" s="1"/>
      <c r="P10" s="1"/>
    </row>
    <row r="11" ht="15.75" customHeight="1">
      <c r="A11" s="1"/>
      <c r="B11" s="40" t="s">
        <v>18</v>
      </c>
      <c r="C11" s="34"/>
      <c r="D11" s="35" t="s">
        <v>19</v>
      </c>
      <c r="E11" s="36"/>
      <c r="F11" s="36"/>
      <c r="G11" s="37"/>
      <c r="H11" s="1"/>
      <c r="I11" s="15" t="s">
        <v>5</v>
      </c>
      <c r="J11" s="16">
        <v>2026.0</v>
      </c>
      <c r="K11" s="1"/>
      <c r="L11" s="1"/>
      <c r="M11" s="1"/>
      <c r="N11" s="1"/>
      <c r="O11" s="1"/>
      <c r="P11" s="1"/>
    </row>
    <row r="12" ht="15.75" customHeight="1">
      <c r="A12" s="1"/>
      <c r="B12" s="40" t="s">
        <v>20</v>
      </c>
      <c r="C12" s="34"/>
      <c r="D12" s="35" t="s">
        <v>21</v>
      </c>
      <c r="E12" s="36"/>
      <c r="F12" s="36"/>
      <c r="G12" s="37"/>
      <c r="H12" s="1"/>
      <c r="I12" s="19" t="s">
        <v>9</v>
      </c>
      <c r="J12" s="41">
        <v>5.0</v>
      </c>
      <c r="K12" s="1"/>
      <c r="L12" s="1"/>
      <c r="M12" s="1"/>
      <c r="N12" s="1"/>
      <c r="O12" s="1"/>
      <c r="P12" s="1"/>
    </row>
    <row r="13" ht="15.75" customHeight="1">
      <c r="A13" s="1"/>
      <c r="B13" s="42" t="s">
        <v>22</v>
      </c>
      <c r="C13" s="43"/>
      <c r="D13" s="44" t="s">
        <v>23</v>
      </c>
      <c r="E13" s="45"/>
      <c r="F13" s="45"/>
      <c r="G13" s="46"/>
      <c r="H13" s="1"/>
      <c r="I13" s="42" t="s">
        <v>11</v>
      </c>
      <c r="J13" s="25">
        <v>3.0</v>
      </c>
      <c r="K13" s="47"/>
      <c r="L13" s="1"/>
      <c r="M13" s="1"/>
      <c r="N13" s="1"/>
      <c r="O13" s="1"/>
      <c r="P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48"/>
      <c r="J14" s="49"/>
      <c r="K14" s="1"/>
      <c r="L14" s="1"/>
      <c r="M14" s="1"/>
      <c r="N14" s="1"/>
      <c r="O14" s="1"/>
      <c r="P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48"/>
      <c r="J15" s="1"/>
      <c r="K15" s="1"/>
      <c r="L15" s="1"/>
      <c r="M15" s="1"/>
      <c r="N15" s="1"/>
      <c r="O15" s="1"/>
      <c r="P15" s="1"/>
      <c r="Q15" s="50" t="s">
        <v>24</v>
      </c>
      <c r="R15" s="50" t="s">
        <v>25</v>
      </c>
      <c r="S15" s="50" t="s">
        <v>26</v>
      </c>
    </row>
    <row r="16">
      <c r="A16" s="1"/>
      <c r="B16" s="1"/>
      <c r="C16" s="1"/>
      <c r="D16" s="1"/>
      <c r="E16" s="27"/>
      <c r="F16" s="27"/>
      <c r="G16" s="27"/>
      <c r="H16" s="1"/>
      <c r="I16" s="48"/>
      <c r="J16" s="1"/>
      <c r="K16" s="1"/>
      <c r="L16" s="1"/>
      <c r="M16" s="1"/>
      <c r="N16" s="1"/>
      <c r="O16" s="1"/>
      <c r="P16" s="1"/>
      <c r="Q16" s="50" t="s">
        <v>24</v>
      </c>
      <c r="R16" s="50" t="s">
        <v>27</v>
      </c>
      <c r="S16" s="50" t="s">
        <v>28</v>
      </c>
      <c r="Z16" s="51"/>
      <c r="AA16" s="51"/>
      <c r="AB16" s="52">
        <f>SUM(G20:G47)</f>
        <v>70</v>
      </c>
    </row>
    <row r="17" ht="15.75" customHeight="1">
      <c r="A17" s="1"/>
      <c r="B17" s="53"/>
      <c r="C17" s="54"/>
      <c r="D17" s="48"/>
      <c r="E17" s="55" t="s">
        <v>29</v>
      </c>
      <c r="F17" s="56" t="s">
        <v>30</v>
      </c>
      <c r="G17" s="57" t="s">
        <v>31</v>
      </c>
      <c r="H17" s="47"/>
      <c r="I17" s="48"/>
      <c r="J17" s="1"/>
      <c r="K17" s="1"/>
      <c r="L17" s="1"/>
      <c r="M17" s="1"/>
      <c r="N17" s="1"/>
      <c r="O17" s="1"/>
      <c r="P17" s="1"/>
      <c r="Q17" s="50" t="s">
        <v>24</v>
      </c>
      <c r="R17" s="50" t="s">
        <v>32</v>
      </c>
      <c r="S17" s="50" t="s">
        <v>33</v>
      </c>
      <c r="Z17" s="51"/>
      <c r="AA17" s="51"/>
      <c r="AB17" s="51"/>
    </row>
    <row r="18" ht="15.75" customHeight="1">
      <c r="A18" s="1"/>
      <c r="B18" s="58"/>
      <c r="C18" s="59"/>
      <c r="D18" s="48"/>
      <c r="E18" s="60"/>
      <c r="F18" s="61"/>
      <c r="G18" s="62"/>
      <c r="H18" s="47"/>
      <c r="I18" s="1"/>
      <c r="J18" s="1"/>
      <c r="K18" s="1"/>
      <c r="L18" s="1"/>
      <c r="M18" s="1"/>
      <c r="N18" s="1"/>
      <c r="O18" s="1"/>
      <c r="P18" s="1"/>
      <c r="Q18" s="50" t="s">
        <v>24</v>
      </c>
      <c r="R18" s="50" t="s">
        <v>34</v>
      </c>
      <c r="S18" s="50" t="s">
        <v>35</v>
      </c>
      <c r="T18" s="50" t="s">
        <v>36</v>
      </c>
      <c r="Z18" s="51">
        <f>F22-F20</f>
        <v>0</v>
      </c>
      <c r="AA18" s="51" t="str">
        <f>(#REF!-#REF!)</f>
        <v>#REF!</v>
      </c>
      <c r="AB18" s="51"/>
    </row>
    <row r="19" ht="15.75" customHeight="1">
      <c r="A19" s="1"/>
      <c r="B19" s="63"/>
      <c r="C19" s="64"/>
      <c r="D19" s="48"/>
      <c r="E19" s="65"/>
      <c r="F19" s="66"/>
      <c r="G19" s="67"/>
      <c r="H19" s="47"/>
      <c r="I19" s="1"/>
      <c r="J19" s="1"/>
      <c r="K19" s="1"/>
      <c r="L19" s="1"/>
      <c r="M19" s="1"/>
      <c r="N19" s="1"/>
      <c r="O19" s="1"/>
      <c r="P19" s="1"/>
      <c r="Q19" s="50" t="s">
        <v>24</v>
      </c>
      <c r="R19" s="50" t="s">
        <v>37</v>
      </c>
      <c r="S19" s="50" t="s">
        <v>38</v>
      </c>
      <c r="T19" s="50" t="s">
        <v>39</v>
      </c>
      <c r="Z19" s="51" t="str">
        <f>#REF!-F22</f>
        <v>#REF!</v>
      </c>
      <c r="AA19" s="51"/>
      <c r="AB19" s="51"/>
    </row>
    <row r="20" ht="15.75" customHeight="1">
      <c r="A20" s="1"/>
      <c r="B20" s="68"/>
      <c r="C20" s="69"/>
      <c r="D20" s="48"/>
      <c r="E20" s="70" t="s">
        <v>40</v>
      </c>
      <c r="F20" s="70">
        <v>1.0</v>
      </c>
      <c r="G20" s="70">
        <v>1.0</v>
      </c>
      <c r="H20" s="47"/>
      <c r="I20" s="1"/>
      <c r="J20" s="1"/>
      <c r="K20" s="1"/>
      <c r="L20" s="1"/>
      <c r="M20" s="1"/>
      <c r="N20" s="1"/>
      <c r="O20" s="1"/>
      <c r="P20" s="1"/>
      <c r="Q20" s="50" t="s">
        <v>24</v>
      </c>
      <c r="R20" s="50" t="s">
        <v>41</v>
      </c>
      <c r="S20" s="50" t="s">
        <v>42</v>
      </c>
      <c r="T20" s="50"/>
      <c r="Z20" s="51" t="str">
        <f>F23-#REF!</f>
        <v>#REF!</v>
      </c>
      <c r="AA20" s="51"/>
      <c r="AB20" s="51"/>
    </row>
    <row r="21" ht="15.75" customHeight="1">
      <c r="A21" s="1"/>
      <c r="B21" s="23"/>
      <c r="C21" s="23"/>
      <c r="D21" s="48"/>
      <c r="E21" s="70" t="s">
        <v>43</v>
      </c>
      <c r="F21" s="70">
        <v>1.0</v>
      </c>
      <c r="G21" s="70">
        <v>4.0</v>
      </c>
      <c r="H21" s="47"/>
      <c r="I21" s="1"/>
      <c r="J21" s="1"/>
      <c r="K21" s="1"/>
      <c r="L21" s="1"/>
      <c r="M21" s="1"/>
      <c r="N21" s="1"/>
      <c r="O21" s="1"/>
      <c r="P21" s="1"/>
      <c r="R21" s="50" t="s">
        <v>44</v>
      </c>
      <c r="S21" s="50" t="s">
        <v>45</v>
      </c>
      <c r="T21" s="50"/>
      <c r="Z21" s="51"/>
      <c r="AA21" s="51"/>
      <c r="AB21" s="51"/>
    </row>
    <row r="22" ht="15.75" customHeight="1">
      <c r="A22" s="1"/>
      <c r="B22" s="68"/>
      <c r="C22" s="69"/>
      <c r="D22" s="48"/>
      <c r="E22" s="70" t="s">
        <v>46</v>
      </c>
      <c r="F22" s="70">
        <v>1.0</v>
      </c>
      <c r="G22" s="70">
        <v>3.0</v>
      </c>
      <c r="H22" s="47"/>
      <c r="I22" s="1"/>
      <c r="J22" s="1"/>
      <c r="K22" s="1"/>
      <c r="L22" s="1"/>
      <c r="M22" s="1"/>
      <c r="N22" s="1"/>
      <c r="O22" s="1"/>
      <c r="P22" s="1"/>
      <c r="R22" s="50" t="s">
        <v>47</v>
      </c>
      <c r="S22" s="50" t="s">
        <v>48</v>
      </c>
      <c r="T22" s="50" t="s">
        <v>49</v>
      </c>
      <c r="Z22" s="51">
        <f>F26-F23</f>
        <v>2</v>
      </c>
      <c r="AA22" s="51"/>
      <c r="AB22" s="51"/>
    </row>
    <row r="23" ht="15.75" customHeight="1">
      <c r="A23" s="1"/>
      <c r="B23" s="68"/>
      <c r="C23" s="69"/>
      <c r="D23" s="48"/>
      <c r="E23" s="70" t="s">
        <v>50</v>
      </c>
      <c r="F23" s="70">
        <v>2.0</v>
      </c>
      <c r="G23" s="70">
        <v>2.0</v>
      </c>
      <c r="H23" s="47"/>
      <c r="I23" s="1"/>
      <c r="J23" s="1"/>
      <c r="K23" s="1"/>
      <c r="L23" s="1"/>
      <c r="M23" s="1"/>
      <c r="N23" s="1"/>
      <c r="O23" s="1"/>
      <c r="P23" s="1"/>
      <c r="R23" s="50" t="s">
        <v>51</v>
      </c>
      <c r="S23" s="50" t="s">
        <v>52</v>
      </c>
      <c r="Z23" s="51" t="str">
        <f>#REF!-#REF!</f>
        <v>#REF!</v>
      </c>
      <c r="AA23" s="51"/>
      <c r="AB23" s="51"/>
    </row>
    <row r="24" ht="15.75" customHeight="1">
      <c r="A24" s="1"/>
      <c r="B24" s="23"/>
      <c r="C24" s="23"/>
      <c r="D24" s="48"/>
      <c r="E24" s="70" t="s">
        <v>53</v>
      </c>
      <c r="F24" s="70">
        <v>3.0</v>
      </c>
      <c r="G24" s="70">
        <v>4.0</v>
      </c>
      <c r="H24" s="47"/>
      <c r="I24" s="1"/>
      <c r="J24" s="1"/>
      <c r="K24" s="1"/>
      <c r="L24" s="1"/>
      <c r="M24" s="1"/>
      <c r="N24" s="1"/>
      <c r="O24" s="1"/>
      <c r="P24" s="1"/>
      <c r="R24" s="50" t="s">
        <v>54</v>
      </c>
      <c r="S24" s="50" t="s">
        <v>55</v>
      </c>
      <c r="T24" s="50" t="s">
        <v>56</v>
      </c>
      <c r="Z24" s="51"/>
      <c r="AA24" s="51"/>
      <c r="AB24" s="51"/>
    </row>
    <row r="25" ht="15.75" customHeight="1">
      <c r="A25" s="1"/>
      <c r="B25" s="23"/>
      <c r="C25" s="23"/>
      <c r="D25" s="48"/>
      <c r="E25" s="70" t="s">
        <v>57</v>
      </c>
      <c r="F25" s="70">
        <v>3.0</v>
      </c>
      <c r="G25" s="70">
        <v>1.0</v>
      </c>
      <c r="H25" s="47"/>
      <c r="I25" s="1"/>
      <c r="J25" s="1"/>
      <c r="K25" s="1"/>
      <c r="L25" s="1"/>
      <c r="M25" s="1"/>
      <c r="N25" s="1"/>
      <c r="O25" s="1"/>
      <c r="P25" s="1"/>
      <c r="R25" s="50" t="s">
        <v>58</v>
      </c>
      <c r="S25" s="50" t="s">
        <v>59</v>
      </c>
      <c r="T25" s="50" t="s">
        <v>60</v>
      </c>
      <c r="Z25" s="51"/>
      <c r="AA25" s="51"/>
      <c r="AB25" s="51"/>
    </row>
    <row r="26" ht="15.75" customHeight="1">
      <c r="A26" s="1"/>
      <c r="B26" s="68"/>
      <c r="C26" s="69"/>
      <c r="D26" s="48"/>
      <c r="E26" s="70" t="s">
        <v>61</v>
      </c>
      <c r="F26" s="70">
        <v>4.0</v>
      </c>
      <c r="G26" s="70">
        <v>1.0</v>
      </c>
      <c r="H26" s="47"/>
      <c r="I26" s="1"/>
      <c r="J26" s="1"/>
      <c r="K26" s="1"/>
      <c r="L26" s="1"/>
      <c r="M26" s="1"/>
      <c r="N26" s="1"/>
      <c r="O26" s="1"/>
      <c r="P26" s="1"/>
      <c r="R26" s="50" t="s">
        <v>62</v>
      </c>
      <c r="S26" s="50" t="s">
        <v>63</v>
      </c>
      <c r="T26" s="50"/>
      <c r="Z26" s="51"/>
      <c r="AA26" s="51"/>
      <c r="AB26" s="51"/>
    </row>
    <row r="27" ht="15.75" customHeight="1">
      <c r="A27" s="1"/>
      <c r="B27" s="68"/>
      <c r="C27" s="69"/>
      <c r="D27" s="48"/>
      <c r="E27" s="70" t="s">
        <v>64</v>
      </c>
      <c r="F27" s="70">
        <v>4.0</v>
      </c>
      <c r="G27" s="70">
        <v>2.0</v>
      </c>
      <c r="H27" s="47"/>
      <c r="I27" s="1"/>
      <c r="J27" s="1"/>
      <c r="K27" s="1"/>
      <c r="L27" s="1"/>
      <c r="M27" s="1"/>
      <c r="N27" s="1"/>
      <c r="O27" s="1"/>
      <c r="P27" s="1"/>
      <c r="R27" s="50" t="s">
        <v>65</v>
      </c>
      <c r="S27" s="50" t="s">
        <v>66</v>
      </c>
      <c r="T27" s="50" t="s">
        <v>67</v>
      </c>
      <c r="Z27" s="51"/>
      <c r="AA27" s="51"/>
      <c r="AB27" s="51"/>
    </row>
    <row r="28" ht="15.75" customHeight="1">
      <c r="A28" s="1"/>
      <c r="B28" s="68"/>
      <c r="C28" s="69"/>
      <c r="D28" s="48"/>
      <c r="E28" s="70" t="s">
        <v>68</v>
      </c>
      <c r="F28" s="70">
        <v>6.0</v>
      </c>
      <c r="G28" s="70">
        <v>3.0</v>
      </c>
      <c r="H28" s="47"/>
      <c r="I28" s="1"/>
      <c r="J28" s="1"/>
      <c r="K28" s="1"/>
      <c r="L28" s="1"/>
      <c r="M28" s="1"/>
      <c r="N28" s="1"/>
      <c r="O28" s="1"/>
      <c r="P28" s="1"/>
      <c r="R28" s="50"/>
      <c r="S28" s="50"/>
      <c r="T28" s="50"/>
    </row>
    <row r="29" ht="15.75" customHeight="1">
      <c r="A29" s="1"/>
      <c r="B29" s="68"/>
      <c r="C29" s="69"/>
      <c r="D29" s="48"/>
      <c r="E29" s="70" t="s">
        <v>69</v>
      </c>
      <c r="F29" s="70">
        <v>6.0</v>
      </c>
      <c r="G29" s="70">
        <v>3.0</v>
      </c>
      <c r="H29" s="47"/>
      <c r="I29" s="1"/>
      <c r="J29" s="1"/>
      <c r="K29" s="1"/>
      <c r="L29" s="1"/>
      <c r="M29" s="1"/>
      <c r="N29" s="1"/>
      <c r="O29" s="1"/>
      <c r="P29" s="1"/>
    </row>
    <row r="30" ht="15.75" customHeight="1">
      <c r="A30" s="1"/>
      <c r="B30" s="68"/>
      <c r="C30" s="69"/>
      <c r="D30" s="48"/>
      <c r="E30" s="70" t="s">
        <v>70</v>
      </c>
      <c r="F30" s="70">
        <v>7.0</v>
      </c>
      <c r="G30" s="70">
        <v>1.0</v>
      </c>
      <c r="H30" s="47"/>
      <c r="I30" s="1"/>
      <c r="J30" s="1"/>
      <c r="K30" s="1"/>
      <c r="L30" s="1"/>
      <c r="M30" s="1"/>
      <c r="N30" s="1"/>
      <c r="O30" s="1"/>
      <c r="P30" s="1"/>
    </row>
    <row r="31" ht="15.75" customHeight="1">
      <c r="A31" s="1"/>
      <c r="B31" s="68"/>
      <c r="C31" s="69"/>
      <c r="D31" s="48"/>
      <c r="E31" s="70" t="s">
        <v>71</v>
      </c>
      <c r="F31" s="70">
        <v>5.0</v>
      </c>
      <c r="G31" s="70">
        <v>5.0</v>
      </c>
      <c r="H31" s="47"/>
      <c r="I31" s="1"/>
      <c r="J31" s="1"/>
      <c r="K31" s="1"/>
      <c r="L31" s="1"/>
      <c r="M31" s="1"/>
      <c r="N31" s="1"/>
      <c r="O31" s="1"/>
      <c r="P31" s="1"/>
    </row>
    <row r="32" ht="15.75" customHeight="1">
      <c r="A32" s="1"/>
      <c r="B32" s="68"/>
      <c r="C32" s="69"/>
      <c r="D32" s="48"/>
      <c r="E32" s="70" t="s">
        <v>72</v>
      </c>
      <c r="F32" s="70">
        <v>8.0</v>
      </c>
      <c r="G32" s="70">
        <v>4.0</v>
      </c>
      <c r="H32" s="47"/>
      <c r="I32" s="1"/>
      <c r="J32" s="1"/>
      <c r="K32" s="1"/>
      <c r="L32" s="1"/>
      <c r="M32" s="1"/>
      <c r="N32" s="1"/>
      <c r="O32" s="1"/>
      <c r="P32" s="1"/>
    </row>
    <row r="33" ht="15.75" customHeight="1">
      <c r="A33" s="1"/>
      <c r="B33" s="68"/>
      <c r="C33" s="69"/>
      <c r="D33" s="48"/>
      <c r="E33" s="70" t="s">
        <v>73</v>
      </c>
      <c r="F33" s="70">
        <v>8.0</v>
      </c>
      <c r="G33" s="70">
        <v>4.0</v>
      </c>
      <c r="H33" s="47"/>
      <c r="I33" s="1"/>
      <c r="J33" s="1"/>
      <c r="K33" s="1"/>
      <c r="L33" s="1"/>
      <c r="M33" s="1"/>
      <c r="N33" s="1"/>
      <c r="O33" s="1"/>
      <c r="P33" s="1"/>
    </row>
    <row r="34" ht="15.75" customHeight="1">
      <c r="A34" s="1"/>
      <c r="B34" s="68"/>
      <c r="C34" s="69"/>
      <c r="D34" s="48"/>
      <c r="E34" s="70" t="s">
        <v>74</v>
      </c>
      <c r="F34" s="70">
        <v>9.0</v>
      </c>
      <c r="G34" s="70">
        <v>4.0</v>
      </c>
      <c r="H34" s="47"/>
      <c r="I34" s="1"/>
      <c r="J34" s="1"/>
      <c r="K34" s="1"/>
      <c r="L34" s="1"/>
      <c r="M34" s="1"/>
      <c r="N34" s="1"/>
      <c r="O34" s="1"/>
      <c r="P34" s="1"/>
    </row>
    <row r="35" ht="15.75" customHeight="1">
      <c r="A35" s="1"/>
      <c r="B35" s="68"/>
      <c r="C35" s="69"/>
      <c r="D35" s="48"/>
      <c r="E35" s="70" t="s">
        <v>75</v>
      </c>
      <c r="F35" s="70">
        <v>11.0</v>
      </c>
      <c r="G35" s="70">
        <v>2.0</v>
      </c>
      <c r="H35" s="47"/>
      <c r="I35" s="1"/>
      <c r="J35" s="1"/>
      <c r="K35" s="1"/>
      <c r="L35" s="1"/>
      <c r="M35" s="1"/>
      <c r="N35" s="1"/>
      <c r="O35" s="1"/>
      <c r="P35" s="1"/>
    </row>
    <row r="36" ht="15.75" customHeight="1">
      <c r="A36" s="1"/>
      <c r="B36" s="68"/>
      <c r="C36" s="69"/>
      <c r="D36" s="48"/>
      <c r="E36" s="70" t="s">
        <v>76</v>
      </c>
      <c r="F36" s="70">
        <v>12.0</v>
      </c>
      <c r="G36" s="70">
        <v>2.0</v>
      </c>
      <c r="H36" s="47"/>
      <c r="I36" s="1"/>
      <c r="J36" s="1"/>
      <c r="K36" s="1"/>
      <c r="L36" s="1"/>
      <c r="M36" s="1"/>
      <c r="N36" s="1"/>
      <c r="O36" s="1"/>
      <c r="P36" s="1"/>
    </row>
    <row r="37" ht="15.75" customHeight="1">
      <c r="A37" s="1"/>
      <c r="B37" s="68"/>
      <c r="C37" s="69"/>
      <c r="D37" s="48"/>
      <c r="E37" s="70" t="s">
        <v>77</v>
      </c>
      <c r="F37" s="70">
        <v>13.0</v>
      </c>
      <c r="G37" s="70">
        <v>2.0</v>
      </c>
      <c r="H37" s="47"/>
      <c r="I37" s="1"/>
      <c r="J37" s="1"/>
      <c r="K37" s="1"/>
      <c r="L37" s="1"/>
      <c r="M37" s="1"/>
      <c r="N37" s="1"/>
      <c r="O37" s="1"/>
      <c r="P37" s="1"/>
    </row>
    <row r="38" ht="15.75" customHeight="1">
      <c r="A38" s="1"/>
      <c r="B38" s="68"/>
      <c r="C38" s="69"/>
      <c r="D38" s="48"/>
      <c r="E38" s="70" t="s">
        <v>78</v>
      </c>
      <c r="F38" s="70">
        <v>12.0</v>
      </c>
      <c r="G38" s="70">
        <v>1.0</v>
      </c>
      <c r="H38" s="47"/>
      <c r="I38" s="1"/>
      <c r="J38" s="1"/>
      <c r="K38" s="1"/>
      <c r="L38" s="1"/>
      <c r="M38" s="1"/>
      <c r="N38" s="1"/>
      <c r="O38" s="1"/>
      <c r="P38" s="1"/>
    </row>
    <row r="39" ht="15.75" customHeight="1">
      <c r="A39" s="1"/>
      <c r="B39" s="68"/>
      <c r="C39" s="69"/>
      <c r="D39" s="48"/>
      <c r="E39" s="70" t="s">
        <v>79</v>
      </c>
      <c r="F39" s="70">
        <v>13.0</v>
      </c>
      <c r="G39" s="70">
        <v>1.0</v>
      </c>
      <c r="H39" s="47"/>
      <c r="I39" s="1"/>
      <c r="J39" s="1"/>
      <c r="K39" s="1"/>
      <c r="L39" s="1"/>
      <c r="M39" s="1"/>
      <c r="N39" s="1"/>
      <c r="O39" s="1"/>
      <c r="P39" s="1"/>
    </row>
    <row r="40" ht="15.75" customHeight="1">
      <c r="A40" s="1"/>
      <c r="B40" s="68"/>
      <c r="C40" s="69"/>
      <c r="D40" s="48"/>
      <c r="E40" s="70" t="s">
        <v>80</v>
      </c>
      <c r="F40" s="70">
        <v>13.0</v>
      </c>
      <c r="G40" s="70">
        <v>2.0</v>
      </c>
      <c r="H40" s="47"/>
      <c r="I40" s="1"/>
      <c r="J40" s="1"/>
      <c r="K40" s="1"/>
      <c r="L40" s="1"/>
      <c r="M40" s="1"/>
      <c r="N40" s="1"/>
      <c r="O40" s="1"/>
      <c r="P40" s="1"/>
    </row>
    <row r="41" ht="15.75" customHeight="1">
      <c r="A41" s="1"/>
      <c r="B41" s="68"/>
      <c r="C41" s="69"/>
      <c r="D41" s="48"/>
      <c r="E41" s="70" t="s">
        <v>81</v>
      </c>
      <c r="F41" s="70">
        <v>14.0</v>
      </c>
      <c r="G41" s="70">
        <v>2.0</v>
      </c>
      <c r="H41" s="47"/>
      <c r="I41" s="1"/>
      <c r="J41" s="1"/>
      <c r="K41" s="1"/>
      <c r="L41" s="1"/>
      <c r="M41" s="1"/>
      <c r="N41" s="1"/>
      <c r="O41" s="1"/>
      <c r="P41" s="1"/>
    </row>
    <row r="42" ht="15.75" customHeight="1">
      <c r="A42" s="1"/>
      <c r="B42" s="68"/>
      <c r="C42" s="69"/>
      <c r="D42" s="48"/>
      <c r="E42" s="70" t="s">
        <v>82</v>
      </c>
      <c r="F42" s="70">
        <v>14.0</v>
      </c>
      <c r="G42" s="70">
        <v>1.0</v>
      </c>
      <c r="H42" s="47"/>
      <c r="I42" s="1"/>
      <c r="J42" s="1"/>
      <c r="K42" s="1"/>
      <c r="L42" s="1"/>
      <c r="M42" s="1"/>
      <c r="N42" s="1"/>
      <c r="O42" s="1"/>
      <c r="P42" s="1"/>
    </row>
    <row r="43" ht="15.75" customHeight="1">
      <c r="A43" s="1"/>
      <c r="B43" s="68"/>
      <c r="C43" s="69"/>
      <c r="D43" s="48"/>
      <c r="E43" s="70" t="s">
        <v>83</v>
      </c>
      <c r="F43" s="70">
        <v>13.0</v>
      </c>
      <c r="G43" s="70">
        <v>3.0</v>
      </c>
      <c r="H43" s="47"/>
      <c r="I43" s="1"/>
      <c r="J43" s="1"/>
      <c r="K43" s="1"/>
      <c r="L43" s="1"/>
      <c r="M43" s="1"/>
      <c r="N43" s="1"/>
      <c r="O43" s="1"/>
      <c r="P43" s="1"/>
    </row>
    <row r="44" ht="15.75" customHeight="1">
      <c r="A44" s="1"/>
      <c r="B44" s="68"/>
      <c r="C44" s="69"/>
      <c r="D44" s="48"/>
      <c r="E44" s="70" t="s">
        <v>84</v>
      </c>
      <c r="F44" s="70">
        <v>6.0</v>
      </c>
      <c r="G44" s="70">
        <v>8.0</v>
      </c>
      <c r="H44" s="47"/>
      <c r="I44" s="1"/>
      <c r="J44" s="1"/>
      <c r="K44" s="1"/>
      <c r="L44" s="1"/>
      <c r="M44" s="1"/>
      <c r="N44" s="1"/>
      <c r="O44" s="1"/>
      <c r="P44" s="1"/>
    </row>
    <row r="45" ht="15.75" customHeight="1">
      <c r="A45" s="1"/>
      <c r="B45" s="68"/>
      <c r="C45" s="69"/>
      <c r="D45" s="48"/>
      <c r="E45" s="70" t="s">
        <v>85</v>
      </c>
      <c r="F45" s="70">
        <v>14.0</v>
      </c>
      <c r="G45" s="70">
        <v>2.0</v>
      </c>
      <c r="H45" s="47"/>
      <c r="I45" s="1"/>
      <c r="J45" s="1"/>
      <c r="K45" s="1"/>
      <c r="L45" s="1"/>
      <c r="M45" s="1"/>
      <c r="N45" s="1"/>
      <c r="O45" s="1"/>
      <c r="P45" s="1"/>
    </row>
    <row r="46" ht="15.75" customHeight="1">
      <c r="A46" s="1"/>
      <c r="B46" s="68"/>
      <c r="C46" s="69"/>
      <c r="D46" s="48"/>
      <c r="E46" s="70" t="s">
        <v>86</v>
      </c>
      <c r="F46" s="70">
        <v>15.0</v>
      </c>
      <c r="G46" s="70">
        <v>1.0</v>
      </c>
      <c r="H46" s="47"/>
      <c r="I46" s="1"/>
      <c r="J46" s="1"/>
      <c r="K46" s="1"/>
      <c r="L46" s="1"/>
      <c r="M46" s="1"/>
      <c r="N46" s="1"/>
      <c r="O46" s="1"/>
      <c r="P46" s="1"/>
    </row>
    <row r="47" ht="15.75" customHeight="1">
      <c r="A47" s="1"/>
      <c r="B47" s="23"/>
      <c r="C47" s="71"/>
      <c r="D47" s="48"/>
      <c r="E47" s="70" t="s">
        <v>87</v>
      </c>
      <c r="F47" s="70">
        <v>16.0</v>
      </c>
      <c r="G47" s="70">
        <v>1.0</v>
      </c>
      <c r="H47" s="47"/>
      <c r="I47" s="1"/>
      <c r="J47" s="1"/>
      <c r="K47" s="1"/>
      <c r="L47" s="1"/>
      <c r="M47" s="1"/>
      <c r="N47" s="1"/>
      <c r="O47" s="1"/>
      <c r="P47" s="1"/>
    </row>
    <row r="48" ht="15.75" customHeight="1">
      <c r="A48" s="1"/>
      <c r="B48" s="1"/>
      <c r="C48" s="1"/>
      <c r="D48" s="1"/>
      <c r="E48" s="49"/>
      <c r="F48" s="49"/>
      <c r="G48" s="49"/>
      <c r="H48" s="1"/>
      <c r="I48" s="1"/>
      <c r="J48" s="1"/>
      <c r="K48" s="1"/>
      <c r="L48" s="1"/>
      <c r="M48" s="1"/>
      <c r="N48" s="1"/>
      <c r="O48" s="1"/>
      <c r="P48" s="1"/>
    </row>
    <row r="49" ht="15.75" customHeight="1">
      <c r="A49" s="1"/>
      <c r="B49" s="1"/>
      <c r="C49" s="1"/>
      <c r="D49" s="1"/>
      <c r="E49" s="1" t="s">
        <v>88</v>
      </c>
      <c r="F49" s="1"/>
      <c r="G49" s="1"/>
      <c r="H49" s="1"/>
      <c r="I49" s="1"/>
      <c r="J49" s="1"/>
      <c r="K49" s="1" t="s">
        <v>89</v>
      </c>
      <c r="L49" s="1"/>
      <c r="M49" s="1"/>
      <c r="N49" s="1"/>
      <c r="O49" s="1"/>
      <c r="P49" s="1"/>
    </row>
    <row r="50" ht="15.75" customHeight="1">
      <c r="A50" s="1"/>
      <c r="B50" s="1"/>
      <c r="C50" s="1"/>
      <c r="D50" s="1"/>
      <c r="E50" s="72">
        <f>IFERROR(DATE(J6,J7,J8)," ")</f>
        <v>46038</v>
      </c>
      <c r="F50" s="1"/>
      <c r="G50" s="1"/>
      <c r="H50" s="1"/>
      <c r="I50" s="1"/>
      <c r="J50" s="1"/>
      <c r="K50" s="73">
        <f>IFERROR(DATE(J11,J12,J13)," ")</f>
        <v>46145</v>
      </c>
      <c r="L50" s="1"/>
      <c r="M50" s="1"/>
      <c r="N50" s="1"/>
      <c r="O50" s="1"/>
      <c r="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73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74" t="s">
        <v>90</v>
      </c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5.75" customHeight="1">
      <c r="A61" s="1"/>
      <c r="B61" s="5"/>
      <c r="C61" s="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5.75" customHeight="1">
      <c r="A62" s="1"/>
      <c r="B62" s="1"/>
      <c r="C62" s="1"/>
      <c r="D62" s="1"/>
      <c r="E62" s="1"/>
      <c r="F62" s="1"/>
      <c r="G62" s="23"/>
      <c r="H62" s="23"/>
      <c r="I62" s="1"/>
      <c r="J62" s="1"/>
      <c r="K62" s="1"/>
      <c r="L62" s="1"/>
      <c r="M62" s="1"/>
      <c r="N62" s="1"/>
      <c r="O62" s="1"/>
      <c r="P62" s="1"/>
      <c r="Z62" s="75">
        <f>IFERROR(DATEVALUE(J11 &amp; "/"  &amp; J12 &amp; "/" &amp; J13)," ")</f>
        <v>46145</v>
      </c>
    </row>
    <row r="63" ht="15.75" customHeight="1">
      <c r="A63" s="1"/>
      <c r="B63" s="1"/>
      <c r="C63" s="1"/>
      <c r="D63" s="1"/>
      <c r="E63" s="1"/>
      <c r="F63" s="1"/>
      <c r="G63" s="23"/>
      <c r="H63" s="23"/>
      <c r="I63" s="1"/>
      <c r="J63" s="1"/>
      <c r="K63" s="1"/>
      <c r="L63" s="1"/>
      <c r="M63" s="1"/>
      <c r="N63" s="1"/>
      <c r="O63" s="1"/>
      <c r="P63" s="1"/>
      <c r="Z63" s="75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Z64" s="75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Z65" s="75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Z66" s="75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Z67" s="75"/>
    </row>
    <row r="68" ht="15.75" customHeight="1">
      <c r="A68" s="1"/>
      <c r="B68" s="1"/>
      <c r="C68" s="1"/>
      <c r="D68" s="1"/>
      <c r="E68" s="1"/>
      <c r="F68" s="1"/>
      <c r="G68" s="23"/>
      <c r="H68" s="23"/>
      <c r="I68" s="1"/>
      <c r="J68" s="1"/>
      <c r="K68" s="1"/>
      <c r="L68" s="1"/>
      <c r="M68" s="1"/>
      <c r="N68" s="1"/>
      <c r="O68" s="1"/>
      <c r="P68" s="1"/>
      <c r="Z68" s="75">
        <f>IFERROR(DATEVALUE(J6 &amp; "/"  &amp; J7 &amp; "/" &amp; J8)," ")</f>
        <v>46038</v>
      </c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23"/>
      <c r="L70" s="1"/>
      <c r="M70" s="1"/>
      <c r="N70" s="1"/>
      <c r="O70" s="1"/>
      <c r="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47">
    <mergeCell ref="B2:M3"/>
    <mergeCell ref="B5:C5"/>
    <mergeCell ref="D5:G5"/>
    <mergeCell ref="I5:J5"/>
    <mergeCell ref="L5:M5"/>
    <mergeCell ref="B7:C7"/>
    <mergeCell ref="D7:G7"/>
    <mergeCell ref="B9:C9"/>
    <mergeCell ref="D9:G9"/>
    <mergeCell ref="B10:C10"/>
    <mergeCell ref="D10:G10"/>
    <mergeCell ref="I10:J10"/>
    <mergeCell ref="B11:C11"/>
    <mergeCell ref="D11:G11"/>
    <mergeCell ref="B12:C12"/>
    <mergeCell ref="D12:G12"/>
    <mergeCell ref="B13:C13"/>
    <mergeCell ref="D13:G13"/>
    <mergeCell ref="E17:E19"/>
    <mergeCell ref="F17:F19"/>
    <mergeCell ref="G17:G19"/>
    <mergeCell ref="B17:C19"/>
    <mergeCell ref="B20:C20"/>
    <mergeCell ref="B22:C22"/>
    <mergeCell ref="B23:C23"/>
    <mergeCell ref="B26:C26"/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4:C44"/>
    <mergeCell ref="B45:C45"/>
    <mergeCell ref="B46:C46"/>
    <mergeCell ref="B60:C61"/>
    <mergeCell ref="B34:C34"/>
    <mergeCell ref="B35:C35"/>
    <mergeCell ref="B36:C36"/>
    <mergeCell ref="B37:C37"/>
    <mergeCell ref="B38:C38"/>
    <mergeCell ref="B39:C39"/>
    <mergeCell ref="B40:C4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2011-01-25T17:56:32Z</dcterms:created>
  <dc:creator>Georgia Southern University</dc:creator>
</cp:coreProperties>
</file>