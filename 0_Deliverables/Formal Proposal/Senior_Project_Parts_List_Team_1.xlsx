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yKYWCm2bt7+mzZooA2wRRjvZ+hOCjBfB/tjq0EmxlA="/>
    </ext>
  </extLst>
</workbook>
</file>

<file path=xl/sharedStrings.xml><?xml version="1.0" encoding="utf-8"?>
<sst xmlns="http://schemas.openxmlformats.org/spreadsheetml/2006/main" count="46" uniqueCount="35">
  <si>
    <t>Parts List Request form for Departmental Support to purchase components. Note: Project components, if ordered via department, will have to be left at the university at the end of the semester, upon completion.</t>
  </si>
  <si>
    <t>Team 1: Elizabeth McGlone, Sebastian Oviedo, Anish Goyal, Ariana Story</t>
  </si>
  <si>
    <t>Project  Name: Sensor Fusion–Based Trajectory Replanner for Industrial Robotic Arms</t>
  </si>
  <si>
    <t xml:space="preserve">Project Description: </t>
  </si>
  <si>
    <t>This project focuses on the design and implementation of a sensor-integrated robotic arm capable of detecting nearby obstacles and dynamically adjusting its trajectory in real time to prevent collisions. Unlike traditional industrial robotic systems that rely on passive safety mechanisms such as physical barriers or emergency stops, this system emphasizes proactive safety through continuous environmental awareness and adaptive motion control. The robotic arm uses servo-driven joints and a high-torque 270-degree servo motor for base rotation, providing sufficient angular range and torque while simplifying control compared to a stepper-based design. A distributed sensor array consisting of Time-of-Flight (ToF) distance sensors and infrared (IR) proximity sensors enables multi-layer obstacle detection at both long and short ranges. Sensor data is fused and processed using multiple microcontrollers to allow real-time trajectory modification without interrupting system operation. The system demonstrates key principles of industrial robotic safety, including collision avoidance, smooth trajectory replanning, and layered control architecture, while remaining low-cost, modular, and suitable for educational and research applications.</t>
  </si>
  <si>
    <t>S.No.</t>
  </si>
  <si>
    <t>Component</t>
  </si>
  <si>
    <t>Justification</t>
  </si>
  <si>
    <t>Instructor Approval</t>
  </si>
  <si>
    <t>Cost per unit</t>
  </si>
  <si>
    <t>Number of Units</t>
  </si>
  <si>
    <t xml:space="preserve">Total cost </t>
  </si>
  <si>
    <t>Website Link</t>
  </si>
  <si>
    <t>Arduino UNO Q 2-GB RAM [ABX00162] - Hybrid Board, Qualcomm Dragonwing QRB2210 microprocessor (MPU) &amp; STM32U585 Microcontroller(MCU), AI Vision, Voice, IoT, Robotics, Linux Debian OS, Wi-Fi 5, USB-C</t>
  </si>
  <si>
    <t>High-power microcontroller for robotic arm, with enough processing speed and RAM to support real-time control</t>
  </si>
  <si>
    <t>Not Approved</t>
  </si>
  <si>
    <t>Amazon</t>
  </si>
  <si>
    <t>HiLetgo 2pcs PCA9685 16 Channel 12-Bit PWM Servo Motor Driver IIC Module for Arduino Robot</t>
  </si>
  <si>
    <t>Servo driver module for 6DOF implementation and easy power management</t>
  </si>
  <si>
    <t>SHNITPWR 4V - 12V Power Supply 10A 120W AC to DC Adapter DC 4V 4.5V 5V 6V 7V 8V 9V 10V 11V 12V Voltage Adjustable Universal Power Converter Transformer 100-240V AC In with 14 Tips &amp; Polarity Converter</t>
  </si>
  <si>
    <t>Power supply for servo driver module</t>
  </si>
  <si>
    <t>SparkFun Qwiic Mini ToF Imager - VL53L5CX</t>
  </si>
  <si>
    <t>Long-distance sensor package for real-time global obstacle avoidance (Early Warning System)</t>
  </si>
  <si>
    <t xml:space="preserve">
Amazon</t>
  </si>
  <si>
    <t>Adafruit PCA9546 4-Channel I2C Multiplexer - TCA9546A Compatible</t>
  </si>
  <si>
    <t>I2C MUX for round-robin data acquisition of ToF sensors</t>
  </si>
  <si>
    <r>
      <t xml:space="preserve">
</t>
    </r>
    <r>
      <rPr>
        <rFont val="Arial"/>
        <color rgb="FF1155CC"/>
        <sz val="11.0"/>
        <u/>
      </rPr>
      <t>Amazon</t>
    </r>
  </si>
  <si>
    <t>Teensy 4.1</t>
  </si>
  <si>
    <t>High speed microcontroller for sensor array</t>
  </si>
  <si>
    <r>
      <t xml:space="preserve">
</t>
    </r>
    <r>
      <rPr>
        <rFont val="Arial"/>
        <color rgb="FF1155CC"/>
        <sz val="11.0"/>
        <u/>
      </rPr>
      <t>Amazon</t>
    </r>
  </si>
  <si>
    <t>Zip Ties Assorted Sizes(4”+6”+8”+12”), 400 Pack, Black Cable Ties, UV Resistant Wire Ties by ANOSON</t>
  </si>
  <si>
    <t>Cable management</t>
  </si>
  <si>
    <t>20pcs IR Infrared Obstacle Avoidance Sensor Modules for Arduino - Reflective Photoelectric Proximity Sensor, Ideal for Smart Car Robot, Arduino Car Distance Tracking,3.3V-5V DC</t>
  </si>
  <si>
    <t>Short-distance sensor package for real-time local obstacle avoidance (Reactive System)</t>
  </si>
  <si>
    <t>Total cost: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</si>
</sst>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
    <numFmt numFmtId="165" formatCode="&quot;$&quot;#,##0.00_);[Red]\(&quot;$&quot;#,##0.00\)"/>
    <numFmt numFmtId="166" formatCode="&quot;$&quot;#,##0"/>
  </numFmts>
  <fonts count="15">
    <font>
      <sz val="11.0"/>
      <color theme="1"/>
      <name val="Aptos Narrow"/>
      <scheme val="minor"/>
    </font>
    <font>
      <color theme="1"/>
      <name val="Arial"/>
    </font>
    <font>
      <sz val="16.0"/>
      <color theme="1"/>
      <name val="Arial"/>
    </font>
    <font>
      <sz val="16.0"/>
      <color theme="1"/>
      <name val="Aptos Narrow"/>
    </font>
    <font>
      <b/>
      <sz val="12.0"/>
      <color theme="1"/>
      <name val="Arial"/>
    </font>
    <font>
      <sz val="12.0"/>
      <color theme="1"/>
      <name val="Aptos Narrow"/>
    </font>
    <font>
      <color theme="1"/>
      <name val="Aptos Narrow"/>
      <scheme val="minor"/>
    </font>
    <font>
      <sz val="12.0"/>
      <color theme="1"/>
      <name val="Arial"/>
    </font>
    <font>
      <b/>
      <color theme="1"/>
      <name val="Aptos Narrow"/>
      <scheme val="minor"/>
    </font>
    <font>
      <b/>
      <sz val="11.0"/>
      <color theme="1"/>
      <name val="Aptos Narrow"/>
    </font>
    <font>
      <sz val="11.0"/>
      <color theme="1"/>
      <name val="Arial"/>
    </font>
    <font>
      <sz val="11.0"/>
      <color theme="1"/>
      <name val="Aptos Narrow"/>
    </font>
    <font>
      <u/>
      <sz val="11.0"/>
      <color rgb="FF0000FF"/>
      <name val="Arial"/>
    </font>
    <font>
      <u/>
      <sz val="11.0"/>
      <color rgb="FF1155CC"/>
      <name val="Arial"/>
    </font>
    <font>
      <u/>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5" numFmtId="0" xfId="0" applyFont="1"/>
    <xf borderId="0" fillId="0" fontId="6" numFmtId="0" xfId="0" applyAlignment="1" applyFont="1">
      <alignment vertical="top"/>
    </xf>
    <xf borderId="0" fillId="0" fontId="7" numFmtId="0" xfId="0" applyAlignment="1" applyFont="1">
      <alignment horizontal="left" readingOrder="0" shrinkToFit="0" vertical="top" wrapText="1"/>
    </xf>
    <xf borderId="0" fillId="0" fontId="6" numFmtId="0" xfId="0" applyAlignment="1" applyFont="1">
      <alignment shrinkToFit="0" wrapText="1"/>
    </xf>
    <xf borderId="0" fillId="0" fontId="8" numFmtId="0" xfId="0" applyAlignment="1" applyFont="1">
      <alignment horizontal="center"/>
    </xf>
    <xf borderId="0" fillId="0" fontId="8" numFmtId="0" xfId="0" applyAlignment="1" applyFont="1">
      <alignment horizontal="center" readingOrder="0" shrinkToFit="0" wrapText="1"/>
    </xf>
    <xf borderId="0" fillId="0" fontId="9" numFmtId="0" xfId="0" applyAlignment="1" applyFont="1">
      <alignment horizontal="center" shrinkToFit="0" wrapText="1"/>
    </xf>
    <xf borderId="0" fillId="0" fontId="8" numFmtId="0" xfId="0" applyAlignment="1" applyFont="1">
      <alignment horizontal="center" shrinkToFit="0" wrapText="1"/>
    </xf>
    <xf borderId="0" fillId="0" fontId="10" numFmtId="0" xfId="0" applyAlignment="1" applyFont="1">
      <alignment horizontal="center" shrinkToFit="0" vertical="bottom" wrapText="1"/>
    </xf>
    <xf borderId="0" fillId="0" fontId="10" numFmtId="164" xfId="0" applyAlignment="1" applyFont="1" applyNumberFormat="1">
      <alignment horizontal="center" shrinkToFit="0" vertical="bottom" wrapText="1"/>
    </xf>
    <xf borderId="0" fillId="0" fontId="1" numFmtId="0" xfId="0" applyAlignment="1" applyFont="1">
      <alignment horizontal="center" shrinkToFit="0" vertical="bottom" wrapText="1"/>
    </xf>
    <xf borderId="0" fillId="0" fontId="6" numFmtId="0" xfId="0" applyAlignment="1" applyFont="1">
      <alignment horizontal="center" shrinkToFit="0" wrapText="1"/>
    </xf>
    <xf borderId="0" fillId="0" fontId="11" numFmtId="165" xfId="0" applyAlignment="1" applyFont="1" applyNumberFormat="1">
      <alignment horizontal="center" readingOrder="0" shrinkToFit="0" wrapText="1"/>
    </xf>
    <xf borderId="0" fillId="0" fontId="12" numFmtId="0" xfId="0" applyAlignment="1" applyFont="1">
      <alignment horizontal="center" readingOrder="0" shrinkToFit="0" vertical="bottom" wrapText="1"/>
    </xf>
    <xf borderId="0" fillId="0" fontId="10" numFmtId="164" xfId="0" applyAlignment="1" applyFont="1" applyNumberFormat="1">
      <alignment horizontal="center" readingOrder="0" shrinkToFit="0" vertical="bottom" wrapText="1"/>
    </xf>
    <xf borderId="0" fillId="0" fontId="13" numFmtId="0" xfId="0" applyAlignment="1" applyFont="1">
      <alignment horizontal="center" readingOrder="0" shrinkToFit="0" vertical="bottom" wrapText="1"/>
    </xf>
    <xf borderId="0" fillId="0" fontId="10" numFmtId="0" xfId="0" applyAlignment="1" applyFont="1">
      <alignment horizontal="center" shrinkToFit="0" vertical="bottom" wrapText="1"/>
    </xf>
    <xf borderId="0" fillId="0" fontId="1" numFmtId="166" xfId="0" applyAlignment="1" applyFont="1" applyNumberFormat="1">
      <alignment horizontal="center" vertical="bottom"/>
    </xf>
    <xf borderId="0" fillId="0" fontId="1" numFmtId="0" xfId="0" applyAlignment="1" applyFont="1">
      <alignment horizontal="center" vertical="bottom"/>
    </xf>
    <xf borderId="0" fillId="0" fontId="14" numFmtId="0" xfId="0" applyAlignment="1" applyFont="1">
      <alignment horizontal="center" readingOrder="0" shrinkToFit="0" vertical="bottom" wrapText="1"/>
    </xf>
    <xf borderId="0" fillId="0" fontId="1" numFmtId="0" xfId="0" applyAlignment="1" applyFont="1">
      <alignment horizontal="center" readingOrder="0" shrinkToFit="0" wrapText="1"/>
    </xf>
    <xf borderId="0" fillId="0" fontId="6" numFmtId="165" xfId="0" applyAlignment="1" applyFont="1" applyNumberForma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Arduino-2-GB-ABX00162-microprocessor-Microcontroller/dp/B0FVLQLMSV" TargetMode="External"/><Relationship Id="rId2" Type="http://schemas.openxmlformats.org/officeDocument/2006/relationships/hyperlink" Target="https://www.amazon.com/HiLetgo-PCA9685-Channel-12-Bit-Arduino/dp/B07BRS249H" TargetMode="External"/><Relationship Id="rId3" Type="http://schemas.openxmlformats.org/officeDocument/2006/relationships/hyperlink" Target="https://www.amazon.com/dp/B08N4FB7MF/" TargetMode="External"/><Relationship Id="rId4" Type="http://schemas.openxmlformats.org/officeDocument/2006/relationships/hyperlink" Target="https://www.amazon.com/SparkFun-VL53L5CX-Multizone-Measurements-Recognition-Laser-Assisted/dp/B09M97318D" TargetMode="External"/><Relationship Id="rId9" Type="http://schemas.openxmlformats.org/officeDocument/2006/relationships/drawing" Target="../drawings/drawing1.xml"/><Relationship Id="rId5" Type="http://schemas.openxmlformats.org/officeDocument/2006/relationships/hyperlink" Target="https://www.amazon.com/8541585622/dp/B017C09ETS/" TargetMode="External"/><Relationship Id="rId6" Type="http://schemas.openxmlformats.org/officeDocument/2006/relationships/hyperlink" Target="https://www.amazon.com/PJRC-Cortex-M7-Processor-iMXRT1062-Without/dp/B088JY7P2H/" TargetMode="External"/><Relationship Id="rId7" Type="http://schemas.openxmlformats.org/officeDocument/2006/relationships/hyperlink" Target="https://amazon.com/Assorted-Sizes-12-Resistant-ANOSON/dp/B0C2Z4L3S6/" TargetMode="External"/><Relationship Id="rId8" Type="http://schemas.openxmlformats.org/officeDocument/2006/relationships/hyperlink" Target="https://www.amazon.com/EC-Buying-Infrared-Obstacle-Avoidance/dp/B0CWKWWKY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69.38"/>
    <col customWidth="1" min="3" max="3" width="70.38"/>
    <col customWidth="1" min="4" max="4" width="18.13"/>
    <col customWidth="1" min="5" max="5" width="12.75"/>
    <col customWidth="1" min="6" max="6" width="15.88"/>
    <col customWidth="1" min="7" max="7" width="11.13"/>
    <col customWidth="1" min="8" max="8" width="8.63"/>
    <col customWidth="1" min="9" max="9" width="33.5"/>
    <col customWidth="1" min="10" max="26" width="8.63"/>
  </cols>
  <sheetData>
    <row r="1">
      <c r="B1" s="1" t="s">
        <v>0</v>
      </c>
    </row>
    <row r="2">
      <c r="B2" s="2" t="s">
        <v>1</v>
      </c>
      <c r="C2" s="3"/>
    </row>
    <row r="3">
      <c r="A3" s="3"/>
      <c r="B3" s="2" t="s">
        <v>2</v>
      </c>
      <c r="C3" s="3"/>
      <c r="D3" s="3"/>
      <c r="E3" s="3"/>
      <c r="F3" s="3"/>
      <c r="G3" s="3"/>
      <c r="H3" s="3"/>
      <c r="I3" s="3"/>
      <c r="J3" s="3"/>
      <c r="K3" s="3"/>
      <c r="L3" s="3"/>
      <c r="M3" s="3"/>
      <c r="N3" s="3"/>
      <c r="O3" s="3"/>
      <c r="P3" s="3"/>
      <c r="Q3" s="3"/>
      <c r="R3" s="3"/>
      <c r="S3" s="3"/>
      <c r="T3" s="3"/>
      <c r="U3" s="3"/>
      <c r="V3" s="3"/>
      <c r="W3" s="3"/>
      <c r="X3" s="3"/>
      <c r="Y3" s="3"/>
      <c r="Z3" s="3"/>
    </row>
    <row r="4">
      <c r="B4" s="4" t="s">
        <v>3</v>
      </c>
      <c r="C4" s="5"/>
    </row>
    <row r="5" ht="70.5" customHeight="1">
      <c r="A5" s="6"/>
      <c r="B5" s="7" t="s">
        <v>4</v>
      </c>
      <c r="J5" s="6"/>
      <c r="K5" s="6"/>
      <c r="L5" s="6"/>
      <c r="M5" s="6"/>
      <c r="N5" s="6"/>
      <c r="O5" s="6"/>
      <c r="P5" s="6"/>
      <c r="Q5" s="6"/>
      <c r="R5" s="6"/>
      <c r="S5" s="6"/>
      <c r="T5" s="6"/>
      <c r="U5" s="6"/>
      <c r="V5" s="6"/>
      <c r="W5" s="6"/>
      <c r="X5" s="6"/>
      <c r="Y5" s="6"/>
      <c r="Z5" s="6"/>
    </row>
    <row r="6">
      <c r="B6" s="8"/>
      <c r="C6" s="8"/>
      <c r="D6" s="8"/>
      <c r="E6" s="8"/>
      <c r="F6" s="8"/>
      <c r="G6" s="8"/>
      <c r="H6" s="8"/>
      <c r="I6" s="8"/>
    </row>
    <row r="7">
      <c r="A7" s="9" t="s">
        <v>5</v>
      </c>
      <c r="B7" s="10" t="s">
        <v>6</v>
      </c>
      <c r="C7" s="10" t="s">
        <v>7</v>
      </c>
      <c r="D7" s="11" t="s">
        <v>8</v>
      </c>
      <c r="E7" s="11" t="s">
        <v>9</v>
      </c>
      <c r="F7" s="11" t="s">
        <v>10</v>
      </c>
      <c r="G7" s="11" t="s">
        <v>11</v>
      </c>
      <c r="H7" s="12" t="s">
        <v>12</v>
      </c>
    </row>
    <row r="8" ht="69.0" customHeight="1">
      <c r="A8" s="13">
        <v>1.0</v>
      </c>
      <c r="B8" s="14" t="s">
        <v>13</v>
      </c>
      <c r="C8" s="15" t="s">
        <v>14</v>
      </c>
      <c r="D8" s="16" t="s">
        <v>15</v>
      </c>
      <c r="E8" s="14">
        <v>44.0</v>
      </c>
      <c r="F8" s="13">
        <v>1.0</v>
      </c>
      <c r="G8" s="17">
        <f t="shared" ref="G8:G15" si="1">E8*F8</f>
        <v>44</v>
      </c>
      <c r="H8" s="18" t="s">
        <v>16</v>
      </c>
    </row>
    <row r="9">
      <c r="A9" s="13">
        <v>2.0</v>
      </c>
      <c r="B9" s="14" t="s">
        <v>17</v>
      </c>
      <c r="C9" s="15" t="s">
        <v>18</v>
      </c>
      <c r="D9" s="16" t="s">
        <v>15</v>
      </c>
      <c r="E9" s="14">
        <v>13.99</v>
      </c>
      <c r="F9" s="13">
        <v>1.0</v>
      </c>
      <c r="G9" s="17">
        <f t="shared" si="1"/>
        <v>13.99</v>
      </c>
      <c r="H9" s="18" t="s">
        <v>16</v>
      </c>
    </row>
    <row r="10">
      <c r="A10" s="13">
        <v>3.0</v>
      </c>
      <c r="B10" s="14" t="s">
        <v>19</v>
      </c>
      <c r="C10" s="15" t="s">
        <v>20</v>
      </c>
      <c r="D10" s="16" t="s">
        <v>15</v>
      </c>
      <c r="E10" s="14">
        <v>24.99</v>
      </c>
      <c r="F10" s="13">
        <v>1.0</v>
      </c>
      <c r="G10" s="17">
        <f t="shared" si="1"/>
        <v>24.99</v>
      </c>
      <c r="H10" s="18" t="s">
        <v>16</v>
      </c>
    </row>
    <row r="11">
      <c r="A11" s="13">
        <v>4.0</v>
      </c>
      <c r="B11" s="14" t="s">
        <v>21</v>
      </c>
      <c r="C11" s="15" t="s">
        <v>22</v>
      </c>
      <c r="D11" s="16" t="s">
        <v>15</v>
      </c>
      <c r="E11" s="19">
        <v>32.5</v>
      </c>
      <c r="F11" s="13">
        <v>4.0</v>
      </c>
      <c r="G11" s="17">
        <f t="shared" si="1"/>
        <v>130</v>
      </c>
      <c r="H11" s="20" t="s">
        <v>23</v>
      </c>
    </row>
    <row r="12">
      <c r="A12" s="13">
        <v>5.0</v>
      </c>
      <c r="B12" s="14" t="s">
        <v>24</v>
      </c>
      <c r="C12" s="15" t="s">
        <v>25</v>
      </c>
      <c r="D12" s="16" t="s">
        <v>15</v>
      </c>
      <c r="E12" s="19">
        <v>13.74</v>
      </c>
      <c r="F12" s="13">
        <v>1.0</v>
      </c>
      <c r="G12" s="17">
        <f t="shared" si="1"/>
        <v>13.74</v>
      </c>
      <c r="H12" s="18" t="s">
        <v>26</v>
      </c>
    </row>
    <row r="13">
      <c r="A13" s="13">
        <v>6.0</v>
      </c>
      <c r="B13" s="21" t="s">
        <v>27</v>
      </c>
      <c r="C13" s="15" t="s">
        <v>28</v>
      </c>
      <c r="D13" s="16" t="s">
        <v>15</v>
      </c>
      <c r="E13" s="14">
        <v>31.5</v>
      </c>
      <c r="F13" s="13">
        <v>1.0</v>
      </c>
      <c r="G13" s="17">
        <f t="shared" si="1"/>
        <v>31.5</v>
      </c>
      <c r="H13" s="18" t="s">
        <v>29</v>
      </c>
    </row>
    <row r="14">
      <c r="A14" s="13">
        <v>7.0</v>
      </c>
      <c r="B14" s="15" t="s">
        <v>30</v>
      </c>
      <c r="C14" s="15" t="s">
        <v>31</v>
      </c>
      <c r="D14" s="16" t="s">
        <v>15</v>
      </c>
      <c r="E14" s="22">
        <v>6.99</v>
      </c>
      <c r="F14" s="23">
        <v>1.0</v>
      </c>
      <c r="G14" s="17">
        <f t="shared" si="1"/>
        <v>6.99</v>
      </c>
      <c r="H14" s="24" t="s">
        <v>16</v>
      </c>
    </row>
    <row r="15">
      <c r="A15" s="13">
        <v>8.0</v>
      </c>
      <c r="B15" s="15" t="s">
        <v>32</v>
      </c>
      <c r="C15" s="15" t="s">
        <v>33</v>
      </c>
      <c r="D15" s="16" t="s">
        <v>15</v>
      </c>
      <c r="E15" s="22">
        <v>9.0</v>
      </c>
      <c r="F15" s="23">
        <v>1.0</v>
      </c>
      <c r="G15" s="17">
        <f t="shared" si="1"/>
        <v>9</v>
      </c>
      <c r="H15" s="24" t="s">
        <v>16</v>
      </c>
    </row>
    <row r="16" ht="15.75" customHeight="1">
      <c r="B16" s="8"/>
      <c r="C16" s="8"/>
      <c r="D16" s="8"/>
      <c r="E16" s="8"/>
      <c r="F16" s="8"/>
      <c r="G16" s="8"/>
      <c r="H16" s="8"/>
      <c r="I16" s="8"/>
    </row>
    <row r="17" ht="15.75" customHeight="1">
      <c r="B17" s="8"/>
      <c r="C17" s="8"/>
      <c r="D17" s="8"/>
      <c r="E17" s="8"/>
      <c r="F17" s="8"/>
      <c r="G17" s="8"/>
      <c r="H17" s="8"/>
      <c r="I17" s="8"/>
    </row>
    <row r="18" ht="15.75" customHeight="1">
      <c r="B18" s="8"/>
      <c r="C18" s="8"/>
      <c r="D18" s="8"/>
      <c r="E18" s="8"/>
      <c r="F18" s="25" t="s">
        <v>34</v>
      </c>
      <c r="G18" s="26">
        <f>SUM(G8:G15)</f>
        <v>274.21</v>
      </c>
      <c r="H18" s="8"/>
      <c r="I18" s="8"/>
    </row>
    <row r="19" ht="15.75" customHeight="1">
      <c r="B19" s="8"/>
      <c r="C19" s="8"/>
      <c r="D19" s="8"/>
      <c r="E19" s="8"/>
      <c r="F19" s="8"/>
      <c r="G19" s="8"/>
      <c r="H19" s="8"/>
      <c r="I19" s="8"/>
    </row>
    <row r="20" ht="15.75" customHeight="1">
      <c r="B20" s="8"/>
      <c r="C20" s="8"/>
      <c r="D20" s="8"/>
      <c r="E20" s="8"/>
      <c r="F20" s="8"/>
      <c r="G20" s="8"/>
      <c r="H20" s="8"/>
      <c r="I20" s="8"/>
    </row>
    <row r="21" ht="15.75" customHeight="1">
      <c r="B21" s="8"/>
      <c r="C21" s="8"/>
      <c r="D21" s="8"/>
      <c r="E21" s="8"/>
      <c r="F21" s="8"/>
      <c r="G21" s="8"/>
      <c r="H21" s="8"/>
      <c r="I21" s="8"/>
    </row>
    <row r="22" ht="15.75" customHeight="1">
      <c r="B22" s="8"/>
      <c r="C22" s="8"/>
      <c r="D22" s="8"/>
      <c r="E22" s="8"/>
      <c r="F22" s="8"/>
      <c r="G22" s="8"/>
      <c r="H22" s="8"/>
      <c r="I22" s="8"/>
    </row>
    <row r="23" ht="15.75" customHeight="1">
      <c r="B23" s="8"/>
      <c r="C23" s="8"/>
      <c r="D23" s="8"/>
      <c r="E23" s="8"/>
      <c r="F23" s="8"/>
      <c r="G23" s="8"/>
      <c r="H23" s="8"/>
      <c r="I23" s="8"/>
    </row>
    <row r="24" ht="15.75" customHeight="1">
      <c r="B24" s="8"/>
      <c r="C24" s="8"/>
      <c r="D24" s="8"/>
      <c r="E24" s="8"/>
      <c r="F24" s="8"/>
      <c r="G24" s="8"/>
      <c r="H24" s="8"/>
      <c r="I24" s="8"/>
    </row>
    <row r="25" ht="15.75" customHeight="1">
      <c r="B25" s="8"/>
      <c r="C25" s="8"/>
      <c r="D25" s="8"/>
      <c r="E25" s="8"/>
      <c r="F25" s="8"/>
      <c r="G25" s="8"/>
      <c r="H25" s="8"/>
      <c r="I25" s="8"/>
    </row>
    <row r="26" ht="15.75" customHeight="1">
      <c r="B26" s="8"/>
      <c r="C26" s="8"/>
      <c r="D26" s="8"/>
      <c r="E26" s="8"/>
      <c r="F26" s="8"/>
      <c r="G26" s="8"/>
      <c r="H26" s="8"/>
      <c r="I26" s="8"/>
    </row>
    <row r="27" ht="15.75" customHeight="1">
      <c r="B27" s="8"/>
      <c r="C27" s="8"/>
      <c r="D27" s="8"/>
      <c r="E27" s="8"/>
      <c r="F27" s="8"/>
      <c r="G27" s="8"/>
      <c r="H27" s="8"/>
      <c r="I27" s="8"/>
    </row>
    <row r="28" ht="15.75" customHeight="1">
      <c r="B28" s="8"/>
      <c r="C28" s="8"/>
      <c r="D28" s="8"/>
      <c r="E28" s="8"/>
      <c r="F28" s="8"/>
      <c r="G28" s="8"/>
      <c r="H28" s="8"/>
      <c r="I28" s="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mergeCells count="10">
    <mergeCell ref="H13:I13"/>
    <mergeCell ref="H14:I14"/>
    <mergeCell ref="H15:I15"/>
    <mergeCell ref="B5:I5"/>
    <mergeCell ref="H7:I7"/>
    <mergeCell ref="H8:I8"/>
    <mergeCell ref="H9:I9"/>
    <mergeCell ref="H10:I10"/>
    <mergeCell ref="H11:I11"/>
    <mergeCell ref="H12:I12"/>
  </mergeCells>
  <hyperlinks>
    <hyperlink r:id="rId1" ref="H8"/>
    <hyperlink r:id="rId2" ref="H9"/>
    <hyperlink r:id="rId3" ref="H10"/>
    <hyperlink r:id="rId4" ref="H11"/>
    <hyperlink r:id="rId5" ref="H12"/>
    <hyperlink r:id="rId6" ref="H13"/>
    <hyperlink r:id="rId7" ref="H14"/>
    <hyperlink r:id="rId8" ref="H15"/>
  </hyperlinks>
  <printOptions/>
  <pageMargins bottom="0.75" footer="0.0" header="0.0" left="0.7" right="0.7" top="0.75"/>
  <pageSetup orientation="portrait"/>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2025-02-21T15:25:45Z</dcterms:created>
  <dc:creator>Jaylen Jermaine Burton</dc:creator>
</cp:coreProperties>
</file>